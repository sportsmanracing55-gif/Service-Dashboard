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tup Guide" sheetId="1" state="visible" r:id="rId3"/>
    <sheet name="Enquiry Log" sheetId="2" state="visible" r:id="rId4"/>
    <sheet name="Staff" sheetId="3" state="visible" r:id="rId5"/>
    <sheet name="Settings" sheetId="4" state="visible" r:id="rId6"/>
  </sheets>
  <definedNames>
    <definedName function="false" hidden="false" localSheetId="1" name="_xlnm.Print_Area" vbProcedure="false">'Enquiry Log'!$A$1:$S$203</definedName>
    <definedName function="false" hidden="false" localSheetId="1" name="_xlnm.Print_Titles" vbProcedure="false">'Enquiry Log'!$1:$3</definedName>
    <definedName function="false" hidden="false" name="Advisors" vbProcedure="false">Staff!$A$4:$A$33</definedName>
    <definedName function="false" hidden="false" name="PartsStaff" vbProcedure="false">Staff!$D$4:$D$33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<sst xmlns="http://schemas.openxmlformats.org/spreadsheetml/2006/main" count="109" uniqueCount="101">
  <si>
    <t xml:space="preserve">Setup guide – Preston Mazda Customer Enquiry Log</t>
  </si>
  <si>
    <t xml:space="preserve">What this is</t>
  </si>
  <si>
    <t xml:space="preserve">A shared Excel log kept in SharePoint. Everyone with access opens the same file in Excel (desktop or browser) and sees each other's changes within seconds. Sign-in is your normal Microsoft 365 login, so there are no separate passwords or resets. Nothing is installed and nothing runs in the background: quotes are PDFs saved into a folder, and email alerts are one-click links that open a ready-written email in Outlook.</t>
  </si>
  <si>
    <t xml:space="preserve">1. Put the file in SharePoint (once, 10 minutes)</t>
  </si>
  <si>
    <t xml:space="preserve">a) In your Service team's SharePoint site (or a Teams channel's Files tab), create a folder called 'Enquiry Log' and upload this workbook into it.</t>
  </si>
  <si>
    <t xml:space="preserve">b) Next to it create a folder called 'Enquiry Quotes'. Open that folder in the browser, copy the address bar URL, and paste it into Settings → 'Quotes folder URL'. It must end with a slash. If the URL has '?…' after the folder name, delete from the '?' onwards.</t>
  </si>
  <si>
    <t xml:space="preserve">c) On the Staff sheet replace the example names with your team and their work email addresses (the email links use these). Delete the Jane Citizen example row on the Enquiry Log.</t>
  </si>
  <si>
    <t xml:space="preserve">d) Share the file: click 'Share' in SharePoint, type each person's work email, choose 'Can edit'. Only people it is shared with can open it – that is the approval step.</t>
  </si>
  <si>
    <t xml:space="preserve">2. Make the Quotes folder appear in File Explorer on each PC (once per PC, 2 minutes)</t>
  </si>
  <si>
    <t xml:space="preserve">This is what makes attaching quotes easy for everyone. Open the 'Enquiry Quotes' folder in the browser and click 'Sync' in the toolbar (or 'Add shortcut to OneDrive'). It now shows in File Explorer on the left under the dealership name, like any other folder. Right-click it → 'Pin to Quick access' so it is always at the top.</t>
  </si>
  <si>
    <t xml:space="preserve">3. Attaching a quote – three steps, no typing in the sheet</t>
  </si>
  <si>
    <t xml:space="preserve">1) Look at the Ref on the enquiry's row, e.g. E-0012.</t>
  </si>
  <si>
    <t xml:space="preserve">2) From the parts system (or wherever the quote is), choose Print → 'Microsoft Print to PDF' (or Save as PDF), click the 'Enquiry Quotes' folder in Quick access, type the Ref as the file name (E-0012) and Save. If the quote arrived as an email attachment, just drag the attachment into that folder and rename it to the Ref.</t>
  </si>
  <si>
    <t xml:space="preserve">3) That is it. The row's 'Open E-0012.pdf' link now opens the quote for everyone. The link is there from the start; if nobody has saved the file yet it simply says the file was not found.</t>
  </si>
  <si>
    <t xml:space="preserve">A second version? Save it over the first (SharePoint keeps the old one under Version history) or name it 'E-0012 revised' and find it via 'Open the quotes folder' in the black bar.</t>
  </si>
  <si>
    <t xml:space="preserve">4. Email alerts – one click, then press Send</t>
  </si>
  <si>
    <t xml:space="preserve">The four red links on the right of each row open a new email in Outlook with the address, subject and the enquiry details already filled in. Click the link, glance at it, press Send. Outlook's own pop-up notifies the person when it arrives.</t>
  </si>
  <si>
    <t xml:space="preserve">• 'Email parts' appears when Quote Required = Yes (goes to parts@maxkirwan.com.au) and disappears once Parts Done = Yes.</t>
  </si>
  <si>
    <t xml:space="preserve">• 'Email advisors' appears when Contact Customer = Yes (goes to advisors@maxkirwan.com.au) and disappears once Advisor Done = Yes.</t>
  </si>
  <si>
    <t xml:space="preserve">• 'Email &lt;name&gt;' appears when a Service Advisor or Parts Person is chosen – it goes to that person's own address from the Staff sheet, so they know the job is theirs.</t>
  </si>
  <si>
    <t xml:space="preserve">If a link does nothing, Outlook is not set as the default mail program on that PC: Windows Settings → Apps → Default apps → Email → Outlook.</t>
  </si>
  <si>
    <t xml:space="preserve">5. Day-to-day use</t>
  </si>
  <si>
    <t xml:space="preserve">• Each customer enquiry is one row. Type in the cells; Ref, Quote (PDF), Status and the email links fill themselves.</t>
  </si>
  <si>
    <t xml:space="preserve">• Preferred Method, Service Advisor, Parts Person and the four Yes/No columns are drop-downs (click the cell, then the arrow). Contact Customer = Yes means a service advisor must ring/text/email the customer. Quote Required = Yes means the parts department must prepare a quote.</t>
  </si>
  <si>
    <t xml:space="preserve">• Each department marks its own task: Advisor Done and Parts Done. When both are done (or no quote was needed) Status shows 'Complete' and the row turns green. Use the filter arrow on Status to hide complete rows.</t>
  </si>
  <si>
    <t xml:space="preserve">• Notes: write what was discussed in Notes (Alt+Enter for a new line, start each note with the date) and put the name of the person who spoke to the customer in Spoke To Customer. For a running conversation you can also right-click the row → New Comment; comments record who wrote them and when.</t>
  </si>
  <si>
    <t xml:space="preserve">• Date Logged: press Ctrl+; to insert today's date. Logged By: your name.</t>
  </si>
  <si>
    <t xml:space="preserve">• Do not sort the table (use the filter arrows instead) – the Ref numbers follow the row position, and the quote files are named by Ref. Filtering is fine.</t>
  </si>
  <si>
    <t xml:space="preserve">6. Where the data lives</t>
  </si>
  <si>
    <t xml:space="preserve">Everything is in this workbook and the Quotes folder on your SharePoint site – inside the dealership's own Microsoft 365 tenant, under IT's existing controls and backups. Nothing is on any other website. SharePoint keeps version history: right-click the file → Version history to restore an earlier copy if something is deleted by mistake.</t>
  </si>
  <si>
    <t xml:space="preserve">PRESTON MAZDA   ·   Customer Enquiry Log</t>
  </si>
  <si>
    <t xml:space="preserve">CUSTOMER</t>
  </si>
  <si>
    <t xml:space="preserve">PARTS QUOTE</t>
  </si>
  <si>
    <t xml:space="preserve">NOTES</t>
  </si>
  <si>
    <t xml:space="preserve">SERVICE ADVISOR</t>
  </si>
  <si>
    <t xml:space="preserve">PARTS DEPARTMENT</t>
  </si>
  <si>
    <t xml:space="preserve">EMAIL ALERTS – ONE CLICK, THEN PRESS SEND</t>
  </si>
  <si>
    <t xml:space="preserve">Ref</t>
  </si>
  <si>
    <t xml:space="preserve">Date Logged</t>
  </si>
  <si>
    <t xml:space="preserve">Logged By</t>
  </si>
  <si>
    <t xml:space="preserve">Customer Name</t>
  </si>
  <si>
    <t xml:space="preserve">Registration</t>
  </si>
  <si>
    <t xml:space="preserve">Contact Number</t>
  </si>
  <si>
    <t xml:space="preserve">Email Address</t>
  </si>
  <si>
    <t xml:space="preserve">Preferred Method</t>
  </si>
  <si>
    <t xml:space="preserve">Enquiry</t>
  </si>
  <si>
    <t xml:space="preserve">Quote (PDF)</t>
  </si>
  <si>
    <t xml:space="preserve">Notes</t>
  </si>
  <si>
    <t xml:space="preserve">Spoke To Customer</t>
  </si>
  <si>
    <t xml:space="preserve">Service Advisor</t>
  </si>
  <si>
    <t xml:space="preserve">Contact Customer</t>
  </si>
  <si>
    <t xml:space="preserve">Advisor Done</t>
  </si>
  <si>
    <t xml:space="preserve">Parts Person</t>
  </si>
  <si>
    <t xml:space="preserve">Quote Required</t>
  </si>
  <si>
    <t xml:space="preserve">Parts Done</t>
  </si>
  <si>
    <t xml:space="preserve">Status</t>
  </si>
  <si>
    <t xml:space="preserve">Email Parts</t>
  </si>
  <si>
    <t xml:space="preserve">Email Advisors</t>
  </si>
  <si>
    <t xml:space="preserve">Email the Advisor</t>
  </si>
  <si>
    <t xml:space="preserve">Email the Parts Person</t>
  </si>
  <si>
    <t xml:space="preserve">Steve Smith</t>
  </si>
  <si>
    <t xml:space="preserve">Jane Citizen</t>
  </si>
  <si>
    <t xml:space="preserve">ABC123</t>
  </si>
  <si>
    <t xml:space="preserve">0400 000 000</t>
  </si>
  <si>
    <t xml:space="preserve">jane@example.com</t>
  </si>
  <si>
    <t xml:space="preserve">Text</t>
  </si>
  <si>
    <t xml:space="preserve">Price on front brake pads and rotors for a 2019 CX-5.</t>
  </si>
  <si>
    <t xml:space="preserve">24/09 Customer called, wants the quote by Friday. – Sam</t>
  </si>
  <si>
    <t xml:space="preserve">Sam Carter</t>
  </si>
  <si>
    <t xml:space="preserve">Yes</t>
  </si>
  <si>
    <t xml:space="preserve">No</t>
  </si>
  <si>
    <t xml:space="preserve">Pat Nguyen</t>
  </si>
  <si>
    <t xml:space="preserve">Staff – these names feed the drop-downs; the emails are used by the alert flow</t>
  </si>
  <si>
    <t xml:space="preserve">Service advisors</t>
  </si>
  <si>
    <t xml:space="preserve">Parts department</t>
  </si>
  <si>
    <t xml:space="preserve">Name</t>
  </si>
  <si>
    <t xml:space="preserve">Email</t>
  </si>
  <si>
    <t xml:space="preserve">sam@maxkirwan.com.au</t>
  </si>
  <si>
    <t xml:space="preserve">pat@maxkirwan.com.au</t>
  </si>
  <si>
    <t xml:space="preserve">Priya Shah</t>
  </si>
  <si>
    <t xml:space="preserve">priya@maxkirwan.com.au</t>
  </si>
  <si>
    <t xml:space="preserve">Yellow cells are for you to fill in. The three names above are examples – replace them with your team. Add more rows as needed (up to row 33).</t>
  </si>
  <si>
    <t xml:space="preserve">Settings</t>
  </si>
  <si>
    <t xml:space="preserve">Setting</t>
  </si>
  <si>
    <t xml:space="preserve">Value</t>
  </si>
  <si>
    <t xml:space="preserve">Dealership</t>
  </si>
  <si>
    <t xml:space="preserve">Preston Mazda</t>
  </si>
  <si>
    <t xml:space="preserve">Shown in alert emails.</t>
  </si>
  <si>
    <t xml:space="preserve">Approver (shares the file)</t>
  </si>
  <si>
    <t xml:space="preserve">steves@maxkirwan.com.au</t>
  </si>
  <si>
    <t xml:space="preserve">Access is approved by sharing the file with a person (SharePoint 'Share'). Nobody else can open it.</t>
  </si>
  <si>
    <t xml:space="preserve">Parts alerts go to</t>
  </si>
  <si>
    <t xml:space="preserve">parts@maxkirwan.com.au</t>
  </si>
  <si>
    <t xml:space="preserve">The 'Email parts' link appears when 'Quote Required' is Yes.</t>
  </si>
  <si>
    <t xml:space="preserve">Advisor alerts go to</t>
  </si>
  <si>
    <t xml:space="preserve">advisors@maxkirwan.com.au</t>
  </si>
  <si>
    <t xml:space="preserve">The 'Email advisors' link appears when 'Contact Customer' is Yes.</t>
  </si>
  <si>
    <t xml:space="preserve">Quotes folder URL</t>
  </si>
  <si>
    <t xml:space="preserve">https://YOURTENANT.sharepoint.com/sites/Service/Shared%20Documents/Enquiry%20Quotes/</t>
  </si>
  <si>
    <t xml:space="preserve">The SharePoint folder where PDF quotes are saved. Must end with a slash. Each row's 'Open E-0012.pdf' link = this + the Ref + .pdf</t>
  </si>
  <si>
    <t xml:space="preserve">Blue text on yellow = values for you to change.</t>
  </si>
</sst>
</file>

<file path=xl/styles.xml><?xml version="1.0" encoding="utf-8"?>
<styleSheet xmlns="http://schemas.openxmlformats.org/spreadsheetml/2006/main">
  <numFmts count="2">
    <numFmt numFmtId="164" formatCode="General"/>
    <numFmt numFmtId="165" formatCode="dd/mm/yyyy"/>
  </numFmts>
  <fonts count="1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2"/>
      <color rgb="FFC8102E"/>
      <name val="Arial"/>
      <family val="0"/>
      <charset val="1"/>
    </font>
    <font>
      <sz val="10"/>
      <color rgb="FF101010"/>
      <name val="Arial"/>
      <family val="0"/>
      <charset val="1"/>
    </font>
    <font>
      <b val="true"/>
      <sz val="16"/>
      <color rgb="FFFFFFFF"/>
      <name val="Arial"/>
      <family val="0"/>
      <charset val="1"/>
    </font>
    <font>
      <b val="true"/>
      <sz val="11"/>
      <color rgb="FFFFFFFF"/>
      <name val="Arial"/>
      <family val="0"/>
      <charset val="1"/>
    </font>
    <font>
      <b val="true"/>
      <sz val="9"/>
      <color rgb="FF101010"/>
      <name val="Arial"/>
      <family val="0"/>
      <charset val="1"/>
    </font>
    <font>
      <b val="true"/>
      <sz val="9"/>
      <color rgb="FFFFFFFF"/>
      <name val="Arial"/>
      <family val="0"/>
      <charset val="1"/>
    </font>
    <font>
      <b val="true"/>
      <sz val="10"/>
      <color rgb="FF4B4F55"/>
      <name val="Arial"/>
      <family val="0"/>
      <charset val="1"/>
    </font>
    <font>
      <sz val="9"/>
      <color rgb="FF7A7F86"/>
      <name val="Arial"/>
      <family val="0"/>
      <charset val="1"/>
    </font>
    <font>
      <b val="true"/>
      <sz val="10"/>
      <color rgb="FF101010"/>
      <name val="Arial"/>
      <family val="0"/>
      <charset val="1"/>
    </font>
    <font>
      <sz val="10"/>
      <name val="Consolas"/>
      <family val="0"/>
      <charset val="1"/>
    </font>
    <font>
      <b val="true"/>
      <sz val="10"/>
      <color rgb="FFC8102E"/>
      <name val="Arial"/>
      <family val="0"/>
      <charset val="1"/>
    </font>
    <font>
      <b val="true"/>
      <sz val="12"/>
      <color rgb="FFFFFFFF"/>
      <name val="Arial"/>
      <family val="0"/>
      <charset val="1"/>
    </font>
    <font>
      <i val="true"/>
      <sz val="9"/>
      <color rgb="FF7A7F86"/>
      <name val="Arial"/>
      <family val="0"/>
      <charset val="1"/>
    </font>
    <font>
      <sz val="10"/>
      <color rgb="FF0000FF"/>
      <name val="Arial"/>
      <family val="0"/>
      <charset val="1"/>
    </font>
  </fonts>
  <fills count="6">
    <fill>
      <patternFill patternType="none"/>
    </fill>
    <fill>
      <patternFill patternType="gray125"/>
    </fill>
    <fill>
      <patternFill patternType="solid">
        <fgColor rgb="FF101010"/>
        <bgColor rgb="FF000000"/>
      </patternFill>
    </fill>
    <fill>
      <patternFill patternType="solid">
        <fgColor rgb="FFFFFFFF"/>
        <bgColor rgb="FFF8F8F8"/>
      </patternFill>
    </fill>
    <fill>
      <patternFill patternType="solid">
        <fgColor rgb="FFF8F8F8"/>
        <bgColor rgb="FFF1F8F3"/>
      </patternFill>
    </fill>
    <fill>
      <patternFill patternType="solid">
        <fgColor rgb="FFFFFFCC"/>
        <bgColor rgb="FFFFF2C2"/>
      </patternFill>
    </fill>
  </fills>
  <borders count="5">
    <border diagonalUp="false" diagonalDown="false">
      <left/>
      <right/>
      <top/>
      <bottom/>
      <diagonal/>
    </border>
    <border diagonalUp="false" diagonalDown="false">
      <left/>
      <right/>
      <top/>
      <bottom style="thick">
        <color rgb="FFC8102E"/>
      </bottom>
      <diagonal/>
    </border>
    <border diagonalUp="false" diagonalDown="false">
      <left style="thin">
        <color rgb="FF3A3A40"/>
      </left>
      <right style="thin">
        <color rgb="FF3A3A40"/>
      </right>
      <top/>
      <bottom/>
      <diagonal/>
    </border>
    <border diagonalUp="false" diagonalDown="false">
      <left style="thin">
        <color rgb="FFE2E3E5"/>
      </left>
      <right style="thin">
        <color rgb="FFE2E3E5"/>
      </right>
      <top style="thin">
        <color rgb="FFE2E3E5"/>
      </top>
      <bottom style="medium">
        <color rgb="FFC9CBCF"/>
      </bottom>
      <diagonal/>
    </border>
    <border diagonalUp="false" diagonalDown="false">
      <left style="thin">
        <color rgb="FFE2E3E5"/>
      </left>
      <right style="thin">
        <color rgb="FFE2E3E5"/>
      </right>
      <top style="thin">
        <color rgb="FFE2E3E5"/>
      </top>
      <bottom style="thin">
        <color rgb="FFE2E3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false" indent="1"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false" indent="0" shrinkToFit="false"/>
      <protection locked="true" hidden="false"/>
    </xf>
    <xf numFmtId="164" fontId="11" fillId="4" borderId="3" xfId="0" applyFont="true" applyBorder="true" applyAlignment="true" applyProtection="false">
      <alignment horizontal="center" vertical="center" textRotation="0" wrapText="true" indent="0" shrinkToFit="false"/>
      <protection locked="true" hidden="false"/>
    </xf>
    <xf numFmtId="164" fontId="12" fillId="0" borderId="4" xfId="0" applyFont="true" applyBorder="true" applyAlignment="true" applyProtection="false">
      <alignment horizontal="center" vertical="top" textRotation="0" wrapText="false" indent="0" shrinkToFit="false"/>
      <protection locked="true" hidden="false"/>
    </xf>
    <xf numFmtId="165" fontId="6" fillId="0" borderId="4" xfId="0" applyFont="true" applyBorder="true" applyAlignment="true" applyProtection="false">
      <alignment horizontal="general" vertical="top" textRotation="0" wrapText="false" indent="0" shrinkToFit="false"/>
      <protection locked="true" hidden="false"/>
    </xf>
    <xf numFmtId="164" fontId="6" fillId="0" borderId="4" xfId="0" applyFont="true" applyBorder="true" applyAlignment="true" applyProtection="false">
      <alignment horizontal="general" vertical="top" textRotation="0" wrapText="false" indent="0" shrinkToFit="false"/>
      <protection locked="true" hidden="false"/>
    </xf>
    <xf numFmtId="164" fontId="13" fillId="0" borderId="4" xfId="0" applyFont="true" applyBorder="true" applyAlignment="true" applyProtection="false">
      <alignment horizontal="general" vertical="top" textRotation="0" wrapText="false" indent="0" shrinkToFit="false"/>
      <protection locked="true" hidden="false"/>
    </xf>
    <xf numFmtId="164" fontId="14" fillId="0" borderId="4" xfId="0" applyFont="true" applyBorder="true" applyAlignment="true" applyProtection="false">
      <alignment horizontal="general" vertical="top" textRotation="0" wrapText="false" indent="0" shrinkToFit="false"/>
      <protection locked="true" hidden="false"/>
    </xf>
    <xf numFmtId="164" fontId="6" fillId="0" borderId="4" xfId="0" applyFont="true" applyBorder="true" applyAlignment="true" applyProtection="false">
      <alignment horizontal="center" vertical="top" textRotation="0" wrapText="fals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15" fillId="0" borderId="4" xfId="0" applyFont="true" applyBorder="true" applyAlignment="true" applyProtection="false">
      <alignment horizontal="general" vertical="top" textRotation="0" wrapText="false" indent="0" shrinkToFit="false"/>
      <protection locked="true" hidden="false"/>
    </xf>
    <xf numFmtId="164" fontId="15" fillId="4" borderId="4" xfId="0" applyFont="true" applyBorder="true" applyAlignment="true" applyProtection="false">
      <alignment horizontal="general" vertical="top" textRotation="0" wrapText="false" indent="0" shrinkToFit="false"/>
      <protection locked="true" hidden="false"/>
    </xf>
    <xf numFmtId="164" fontId="16" fillId="2"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4" borderId="4" xfId="0" applyFont="true" applyBorder="true" applyAlignment="false" applyProtection="false">
      <alignment horizontal="general" vertical="bottom" textRotation="0" wrapText="false" indent="0" shrinkToFit="false"/>
      <protection locked="true" hidden="false"/>
    </xf>
    <xf numFmtId="164" fontId="6" fillId="5" borderId="4"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3" fillId="0" borderId="4" xfId="0" applyFont="true" applyBorder="true" applyAlignment="true" applyProtection="false">
      <alignment horizontal="general" vertical="top" textRotation="0" wrapText="true" indent="0" shrinkToFit="false"/>
      <protection locked="true" hidden="false"/>
    </xf>
    <xf numFmtId="164" fontId="18" fillId="5" borderId="4" xfId="0" applyFont="true" applyBorder="true" applyAlignment="true" applyProtection="false">
      <alignment horizontal="general" vertical="top" textRotation="0" wrapText="true" indent="0" shrinkToFit="false"/>
      <protection locked="true" hidden="false"/>
    </xf>
    <xf numFmtId="164" fontId="12" fillId="0" borderId="4"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F8F8F8"/>
          <bgColor rgb="FF000000"/>
        </patternFill>
      </fill>
    </dxf>
    <dxf>
      <fill>
        <patternFill patternType="solid">
          <bgColor rgb="FF000000"/>
        </patternFill>
      </fill>
    </dxf>
    <dxf>
      <fill>
        <patternFill patternType="solid">
          <fgColor rgb="FF4B4F55"/>
          <bgColor rgb="FF000000"/>
        </patternFill>
      </fill>
    </dxf>
    <dxf>
      <fill>
        <patternFill patternType="solid">
          <fgColor rgb="FF7A7F86"/>
          <bgColor rgb="FF000000"/>
        </patternFill>
      </fill>
    </dxf>
    <dxf>
      <fill>
        <patternFill patternType="solid">
          <fgColor rgb="FF101010"/>
          <bgColor rgb="FF000000"/>
        </patternFill>
      </fill>
    </dxf>
    <dxf>
      <fill>
        <patternFill patternType="solid">
          <fgColor rgb="FFC8102E"/>
          <bgColor rgb="FF000000"/>
        </patternFill>
      </fill>
    </dxf>
    <dxf>
      <fill>
        <patternFill patternType="solid">
          <fgColor rgb="FFFFF2C2"/>
          <bgColor rgb="FF000000"/>
        </patternFill>
      </fill>
    </dxf>
    <dxf>
      <fill>
        <patternFill patternType="solid">
          <fgColor rgb="FF8A5B00"/>
          <bgColor rgb="FF000000"/>
        </patternFill>
      </fill>
    </dxf>
    <dxf>
      <font>
        <name val="Arial"/>
        <charset val="1"/>
        <family val="0"/>
        <b val="1"/>
        <color rgb="FF1F7A3A"/>
      </font>
      <fill>
        <patternFill>
          <bgColor rgb="FFE3F3E8"/>
        </patternFill>
      </fill>
    </dxf>
    <dxf>
      <font>
        <name val="Arial"/>
        <charset val="1"/>
        <family val="0"/>
        <b val="1"/>
        <color rgb="FF8A5B00"/>
      </font>
      <fill>
        <patternFill>
          <bgColor rgb="FFFFF2C2"/>
        </patternFill>
      </fill>
    </dxf>
    <dxf>
      <font>
        <name val="Arial"/>
        <charset val="1"/>
        <family val="0"/>
        <b val="1"/>
        <color rgb="FFC8102E"/>
      </font>
    </dxf>
    <dxf>
      <fill>
        <patternFill>
          <bgColor rgb="FFF1F8F3"/>
        </patternFill>
      </fill>
    </dxf>
    <dxf>
      <fill>
        <patternFill patternType="solid">
          <fgColor rgb="FFFFFFCC"/>
          <bgColor rgb="FF000000"/>
        </patternFill>
      </fill>
    </dxf>
  </dxfs>
  <colors>
    <indexedColors>
      <rgbColor rgb="FF000000"/>
      <rgbColor rgb="FFFFFFFF"/>
      <rgbColor rgb="FFC8102E"/>
      <rgbColor rgb="FF00FF00"/>
      <rgbColor rgb="FF0000FF"/>
      <rgbColor rgb="FFFFFF00"/>
      <rgbColor rgb="FFFF00FF"/>
      <rgbColor rgb="FF00FFFF"/>
      <rgbColor rgb="FF800000"/>
      <rgbColor rgb="FF1F7A3A"/>
      <rgbColor rgb="FF000080"/>
      <rgbColor rgb="FF8A5B00"/>
      <rgbColor rgb="FF800080"/>
      <rgbColor rgb="FF008080"/>
      <rgbColor rgb="FFC9CBCF"/>
      <rgbColor rgb="FF7A7F86"/>
      <rgbColor rgb="FF9999FF"/>
      <rgbColor rgb="FF993366"/>
      <rgbColor rgb="FFFFFFCC"/>
      <rgbColor rgb="FFE3F3E8"/>
      <rgbColor rgb="FF660066"/>
      <rgbColor rgb="FFFF8080"/>
      <rgbColor rgb="FF0066CC"/>
      <rgbColor rgb="FFE2E3E5"/>
      <rgbColor rgb="FF000080"/>
      <rgbColor rgb="FFFF00FF"/>
      <rgbColor rgb="FFFFFF00"/>
      <rgbColor rgb="FF00FFFF"/>
      <rgbColor rgb="FF800080"/>
      <rgbColor rgb="FF800000"/>
      <rgbColor rgb="FF008080"/>
      <rgbColor rgb="FF0000FF"/>
      <rgbColor rgb="FF00CCFF"/>
      <rgbColor rgb="FFF1F8F3"/>
      <rgbColor rgb="FFF8F8F8"/>
      <rgbColor rgb="FFFFF2C2"/>
      <rgbColor rgb="FF99CCFF"/>
      <rgbColor rgb="FFFF99CC"/>
      <rgbColor rgb="FFCC99FF"/>
      <rgbColor rgb="FFFFCC99"/>
      <rgbColor rgb="FF3366FF"/>
      <rgbColor rgb="FF33CCCC"/>
      <rgbColor rgb="FF99CC00"/>
      <rgbColor rgb="FFFFCC00"/>
      <rgbColor rgb="FFFF9900"/>
      <rgbColor rgb="FFFF6600"/>
      <rgbColor rgb="FF4B4F55"/>
      <rgbColor rgb="FFA2AAAD"/>
      <rgbColor rgb="FF003366"/>
      <rgbColor rgb="FF339966"/>
      <rgbColor rgb="FF101010"/>
      <rgbColor rgb="FF333300"/>
      <rgbColor rgb="FF993300"/>
      <rgbColor rgb="FF993366"/>
      <rgbColor rgb="FF333399"/>
      <rgbColor rgb="FF3A3A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Advisors" displayName="Advisors" ref="A3:B33" headerRowCount="1" totalsRowCount="0" totalsRowShown="0">
  <autoFilter ref="A3:B33"/>
  <tableColumns count="2">
    <tableColumn id="1" name="Name"/>
    <tableColumn id="2" name="Email"/>
  </tableColumns>
</table>
</file>

<file path=xl/tables/table2.xml><?xml version="1.0" encoding="utf-8"?>
<table xmlns="http://schemas.openxmlformats.org/spreadsheetml/2006/main" id="2" name="EnquiryLog" displayName="EnquiryLog" ref="A3:W203" headerRowCount="1" totalsRowCount="0" totalsRowShown="0">
  <autoFilter ref="A3:W203"/>
  <tableColumns count="23">
    <tableColumn id="1" name="Ref"/>
    <tableColumn id="2" name="Date Logged"/>
    <tableColumn id="3" name="Logged By"/>
    <tableColumn id="4" name="Customer Name"/>
    <tableColumn id="5" name="Registration"/>
    <tableColumn id="6" name="Contact Number"/>
    <tableColumn id="7" name="Email Address"/>
    <tableColumn id="8" name="Preferred Method"/>
    <tableColumn id="9" name="Enquiry"/>
    <tableColumn id="10" name="Quote (PDF)"/>
    <tableColumn id="11" name="Notes"/>
    <tableColumn id="12" name="Spoke To Customer"/>
    <tableColumn id="13" name="Service Advisor"/>
    <tableColumn id="14" name="Contact Customer"/>
    <tableColumn id="15" name="Advisor Done"/>
    <tableColumn id="16" name="Parts Person"/>
    <tableColumn id="17" name="Quote Required"/>
    <tableColumn id="18" name="Parts Done"/>
    <tableColumn id="19" name="Status"/>
    <tableColumn id="20" name="Email Parts"/>
    <tableColumn id="21" name="Email Advisors"/>
    <tableColumn id="22" name="Email the Advisor"/>
    <tableColumn id="23" name="Email the Parts Person"/>
  </tableColumns>
</table>
</file>

<file path=xl/tables/table3.xml><?xml version="1.0" encoding="utf-8"?>
<table xmlns="http://schemas.openxmlformats.org/spreadsheetml/2006/main" id="3" name="PartsStaff" displayName="PartsStaff" ref="D3:E33" headerRowCount="1" totalsRowCount="0" totalsRowShown="0">
  <autoFilter ref="D3:E33"/>
  <tableColumns count="2">
    <tableColumn id="1" name="Name"/>
    <tableColumn id="2" name="Emai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2AAAD"/>
    <pageSetUpPr fitToPage="true"/>
  </sheetPr>
  <dimension ref="A1:B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25"/>
  </cols>
  <sheetData>
    <row r="1" customFormat="false" ht="30" hidden="false" customHeight="true" outlineLevel="0" collapsed="false">
      <c r="A1" s="1" t="s">
        <v>0</v>
      </c>
      <c r="B1" s="1"/>
    </row>
    <row r="3" customFormat="false" ht="21.75" hidden="false" customHeight="true" outlineLevel="0" collapsed="false">
      <c r="B3" s="2" t="s">
        <v>1</v>
      </c>
    </row>
    <row r="4" customFormat="false" ht="60" hidden="false" customHeight="true" outlineLevel="0" collapsed="false">
      <c r="B4" s="3" t="s">
        <v>2</v>
      </c>
    </row>
    <row r="5" customFormat="false" ht="21.75" hidden="false" customHeight="true" outlineLevel="0" collapsed="false">
      <c r="B5" s="2" t="s">
        <v>3</v>
      </c>
    </row>
    <row r="6" customFormat="false" ht="30" hidden="false" customHeight="true" outlineLevel="0" collapsed="false">
      <c r="B6" s="3" t="s">
        <v>4</v>
      </c>
    </row>
    <row r="7" customFormat="false" ht="45" hidden="false" customHeight="true" outlineLevel="0" collapsed="false">
      <c r="B7" s="3" t="s">
        <v>5</v>
      </c>
    </row>
    <row r="8" customFormat="false" ht="30" hidden="false" customHeight="true" outlineLevel="0" collapsed="false">
      <c r="B8" s="3" t="s">
        <v>6</v>
      </c>
    </row>
    <row r="9" customFormat="false" ht="30" hidden="false" customHeight="true" outlineLevel="0" collapsed="false">
      <c r="B9" s="3" t="s">
        <v>7</v>
      </c>
    </row>
    <row r="10" customFormat="false" ht="21.75" hidden="false" customHeight="true" outlineLevel="0" collapsed="false">
      <c r="B10" s="2" t="s">
        <v>8</v>
      </c>
    </row>
    <row r="11" customFormat="false" ht="45" hidden="false" customHeight="true" outlineLevel="0" collapsed="false">
      <c r="B11" s="3" t="s">
        <v>9</v>
      </c>
    </row>
    <row r="12" customFormat="false" ht="21.75" hidden="false" customHeight="true" outlineLevel="0" collapsed="false">
      <c r="B12" s="2" t="s">
        <v>10</v>
      </c>
    </row>
    <row r="13" customFormat="false" ht="15.75" hidden="false" customHeight="true" outlineLevel="0" collapsed="false">
      <c r="B13" s="3" t="s">
        <v>11</v>
      </c>
    </row>
    <row r="14" customFormat="false" ht="45" hidden="false" customHeight="true" outlineLevel="0" collapsed="false">
      <c r="B14" s="3" t="s">
        <v>12</v>
      </c>
    </row>
    <row r="15" customFormat="false" ht="30" hidden="false" customHeight="true" outlineLevel="0" collapsed="false">
      <c r="B15" s="3" t="s">
        <v>13</v>
      </c>
    </row>
    <row r="16" customFormat="false" ht="30" hidden="false" customHeight="true" outlineLevel="0" collapsed="false">
      <c r="B16" s="3" t="s">
        <v>14</v>
      </c>
    </row>
    <row r="17" customFormat="false" ht="21.75" hidden="false" customHeight="true" outlineLevel="0" collapsed="false">
      <c r="B17" s="2" t="s">
        <v>15</v>
      </c>
    </row>
    <row r="18" customFormat="false" ht="45" hidden="false" customHeight="true" outlineLevel="0" collapsed="false">
      <c r="B18" s="3" t="s">
        <v>16</v>
      </c>
    </row>
    <row r="19" customFormat="false" ht="30" hidden="false" customHeight="true" outlineLevel="0" collapsed="false">
      <c r="B19" s="3" t="s">
        <v>17</v>
      </c>
    </row>
    <row r="20" customFormat="false" ht="30" hidden="false" customHeight="true" outlineLevel="0" collapsed="false">
      <c r="B20" s="3" t="s">
        <v>18</v>
      </c>
    </row>
    <row r="21" customFormat="false" ht="30" hidden="false" customHeight="true" outlineLevel="0" collapsed="false">
      <c r="B21" s="3" t="s">
        <v>19</v>
      </c>
    </row>
    <row r="22" customFormat="false" ht="30" hidden="false" customHeight="true" outlineLevel="0" collapsed="false">
      <c r="B22" s="3" t="s">
        <v>20</v>
      </c>
    </row>
    <row r="23" customFormat="false" ht="21.75" hidden="false" customHeight="true" outlineLevel="0" collapsed="false">
      <c r="B23" s="2" t="s">
        <v>21</v>
      </c>
    </row>
    <row r="24" customFormat="false" ht="15.75" hidden="false" customHeight="true" outlineLevel="0" collapsed="false">
      <c r="B24" s="3" t="s">
        <v>22</v>
      </c>
    </row>
    <row r="25" customFormat="false" ht="45" hidden="false" customHeight="true" outlineLevel="0" collapsed="false">
      <c r="B25" s="3" t="s">
        <v>23</v>
      </c>
    </row>
    <row r="26" customFormat="false" ht="30" hidden="false" customHeight="true" outlineLevel="0" collapsed="false">
      <c r="B26" s="3" t="s">
        <v>24</v>
      </c>
    </row>
    <row r="27" customFormat="false" ht="45" hidden="false" customHeight="true" outlineLevel="0" collapsed="false">
      <c r="B27" s="3" t="s">
        <v>25</v>
      </c>
    </row>
    <row r="28" customFormat="false" ht="15.75" hidden="false" customHeight="true" outlineLevel="0" collapsed="false">
      <c r="B28" s="3" t="s">
        <v>26</v>
      </c>
    </row>
    <row r="29" customFormat="false" ht="30" hidden="false" customHeight="true" outlineLevel="0" collapsed="false">
      <c r="B29" s="3" t="s">
        <v>27</v>
      </c>
    </row>
    <row r="30" customFormat="false" ht="21.75" hidden="false" customHeight="true" outlineLevel="0" collapsed="false">
      <c r="B30" s="2" t="s">
        <v>28</v>
      </c>
    </row>
    <row r="31" customFormat="false" ht="45" hidden="false" customHeight="true" outlineLevel="0" collapsed="false">
      <c r="B31" s="3" t="s">
        <v>29</v>
      </c>
    </row>
  </sheetData>
  <mergeCells count="1">
    <mergeCell ref="A1:B1"/>
  </mergeCell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102E"/>
    <pageSetUpPr fitToPage="true"/>
  </sheetPr>
  <dimension ref="A1:W20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4"/>
    <col collapsed="false" customWidth="true" hidden="false" outlineLevel="0" max="4" min="4" style="0" width="22"/>
    <col collapsed="false" customWidth="true" hidden="false" outlineLevel="0" max="5" min="5" style="0" width="12"/>
    <col collapsed="false" customWidth="true" hidden="false" outlineLevel="0" max="6" min="6" style="0" width="15"/>
    <col collapsed="false" customWidth="true" hidden="false" outlineLevel="0" max="7" min="7" style="0" width="26"/>
    <col collapsed="false" customWidth="true" hidden="false" outlineLevel="0" max="8" min="8" style="0" width="13"/>
    <col collapsed="false" customWidth="true" hidden="false" outlineLevel="0" max="9" min="9" style="0" width="40"/>
    <col collapsed="false" customWidth="true" hidden="false" outlineLevel="0" max="10" min="10" style="0" width="20"/>
    <col collapsed="false" customWidth="true" hidden="false" outlineLevel="0" max="11" min="11" style="0" width="44"/>
    <col collapsed="false" customWidth="true" hidden="false" outlineLevel="0" max="13" min="12" style="0" width="17"/>
    <col collapsed="false" customWidth="true" hidden="false" outlineLevel="0" max="14" min="14" style="0" width="12"/>
    <col collapsed="false" customWidth="true" hidden="false" outlineLevel="0" max="15" min="15" style="0" width="11"/>
    <col collapsed="false" customWidth="true" hidden="false" outlineLevel="0" max="16" min="16" style="0" width="17"/>
    <col collapsed="false" customWidth="true" hidden="false" outlineLevel="0" max="17" min="17" style="0" width="12"/>
    <col collapsed="false" customWidth="true" hidden="false" outlineLevel="0" max="19" min="18" style="0" width="11"/>
    <col collapsed="false" customWidth="true" hidden="false" outlineLevel="0" max="21" min="20" style="0" width="16"/>
    <col collapsed="false" customWidth="true" hidden="false" outlineLevel="0" max="22" min="22" style="0" width="18"/>
    <col collapsed="false" customWidth="true" hidden="false" outlineLevel="0" max="23" min="23" style="0" width="20"/>
  </cols>
  <sheetData>
    <row r="1" customFormat="false" ht="33.75" hidden="false" customHeight="true" outlineLevel="0" collapsed="false">
      <c r="A1" s="4" t="s">
        <v>30</v>
      </c>
      <c r="B1" s="4"/>
      <c r="C1" s="4"/>
      <c r="D1" s="4"/>
      <c r="E1" s="4"/>
      <c r="F1" s="4"/>
      <c r="G1" s="4"/>
      <c r="H1" s="4"/>
      <c r="I1" s="4"/>
      <c r="J1" s="5" t="str">
        <f aca="false">HYPERLINK(Settings!$B$7,"Open the quotes folder  ↗")</f>
        <v>Open the quotes folder  ↗</v>
      </c>
      <c r="K1" s="5"/>
      <c r="L1" s="5"/>
      <c r="M1" s="6"/>
      <c r="N1" s="6"/>
      <c r="O1" s="6"/>
      <c r="P1" s="6"/>
      <c r="Q1" s="6"/>
      <c r="R1" s="6"/>
      <c r="S1" s="6"/>
      <c r="T1" s="6"/>
      <c r="U1" s="6"/>
      <c r="V1" s="6"/>
      <c r="W1" s="6"/>
    </row>
    <row r="2" customFormat="false" ht="18" hidden="false" customHeight="true" outlineLevel="0" collapsed="false">
      <c r="A2" s="7"/>
      <c r="B2" s="7"/>
      <c r="C2" s="7"/>
      <c r="D2" s="8" t="s">
        <v>31</v>
      </c>
      <c r="E2" s="8"/>
      <c r="F2" s="8"/>
      <c r="G2" s="8"/>
      <c r="H2" s="8"/>
      <c r="I2" s="8"/>
      <c r="J2" s="8" t="s">
        <v>32</v>
      </c>
      <c r="K2" s="8" t="s">
        <v>33</v>
      </c>
      <c r="L2" s="8"/>
      <c r="M2" s="8" t="s">
        <v>34</v>
      </c>
      <c r="N2" s="8"/>
      <c r="O2" s="8"/>
      <c r="P2" s="8" t="s">
        <v>35</v>
      </c>
      <c r="Q2" s="8"/>
      <c r="R2" s="8"/>
      <c r="S2" s="7"/>
      <c r="T2" s="8" t="s">
        <v>36</v>
      </c>
      <c r="U2" s="8"/>
      <c r="V2" s="8"/>
      <c r="W2" s="8"/>
    </row>
    <row r="3" customFormat="false" ht="30" hidden="false" customHeight="true" outlineLevel="0" collapsed="false">
      <c r="A3" s="9" t="s">
        <v>37</v>
      </c>
      <c r="B3" s="9" t="s">
        <v>38</v>
      </c>
      <c r="C3" s="9" t="s">
        <v>39</v>
      </c>
      <c r="D3" s="9" t="s">
        <v>40</v>
      </c>
      <c r="E3" s="9" t="s">
        <v>41</v>
      </c>
      <c r="F3" s="9" t="s">
        <v>42</v>
      </c>
      <c r="G3" s="9" t="s">
        <v>43</v>
      </c>
      <c r="H3" s="9" t="s">
        <v>44</v>
      </c>
      <c r="I3" s="9" t="s">
        <v>45</v>
      </c>
      <c r="J3" s="9" t="s">
        <v>46</v>
      </c>
      <c r="K3" s="9" t="s">
        <v>47</v>
      </c>
      <c r="L3" s="9" t="s">
        <v>48</v>
      </c>
      <c r="M3" s="9" t="s">
        <v>49</v>
      </c>
      <c r="N3" s="9" t="s">
        <v>50</v>
      </c>
      <c r="O3" s="9" t="s">
        <v>51</v>
      </c>
      <c r="P3" s="9" t="s">
        <v>52</v>
      </c>
      <c r="Q3" s="9" t="s">
        <v>53</v>
      </c>
      <c r="R3" s="9" t="s">
        <v>54</v>
      </c>
      <c r="S3" s="9" t="s">
        <v>55</v>
      </c>
      <c r="T3" s="9" t="s">
        <v>56</v>
      </c>
      <c r="U3" s="9" t="s">
        <v>57</v>
      </c>
      <c r="V3" s="9" t="s">
        <v>58</v>
      </c>
      <c r="W3" s="9" t="s">
        <v>59</v>
      </c>
    </row>
    <row r="4" customFormat="false" ht="15" hidden="false" customHeight="false" outlineLevel="0" collapsed="false">
      <c r="A4" s="10" t="str">
        <f aca="false">IF(D4="","","E-"&amp;TEXT(ROW()-3,"0000"))</f>
        <v>E-0001</v>
      </c>
      <c r="B4" s="11" t="n">
        <v>46289</v>
      </c>
      <c r="C4" s="12" t="s">
        <v>60</v>
      </c>
      <c r="D4" s="13" t="s">
        <v>61</v>
      </c>
      <c r="E4" s="14" t="s">
        <v>62</v>
      </c>
      <c r="F4" s="12" t="s">
        <v>63</v>
      </c>
      <c r="G4" s="12" t="s">
        <v>64</v>
      </c>
      <c r="H4" s="15" t="s">
        <v>65</v>
      </c>
      <c r="I4" s="16" t="s">
        <v>66</v>
      </c>
      <c r="J4" s="17" t="str">
        <f aca="false">IF(D4="","",HYPERLINK(Settings!$B$7&amp;A4&amp;".pdf","Open "&amp;A4&amp;".pdf"))</f>
        <v>Open E-0001.pdf</v>
      </c>
      <c r="K4" s="16" t="s">
        <v>67</v>
      </c>
      <c r="L4" s="12" t="s">
        <v>68</v>
      </c>
      <c r="M4" s="12" t="s">
        <v>68</v>
      </c>
      <c r="N4" s="15" t="s">
        <v>69</v>
      </c>
      <c r="O4" s="15" t="s">
        <v>70</v>
      </c>
      <c r="P4" s="12" t="s">
        <v>71</v>
      </c>
      <c r="Q4" s="15" t="s">
        <v>69</v>
      </c>
      <c r="R4" s="15" t="s">
        <v>70</v>
      </c>
      <c r="S4" s="15" t="str">
        <f aca="false">IF(D4="","",IF(AND(O4="Yes",OR(Q4&lt;&gt;"Yes",R4="Yes")),"Complete","Open"))</f>
        <v>Open</v>
      </c>
      <c r="T4" s="18" t="str">
        <f aca="false">IF(AND(Q4="Yes",R4&lt;&gt;"Yes"),HYPERLINK("mailto:"&amp;Settings!$B$5&amp;"?subject="&amp;SUBSTITUTE(SUBSTITUTE(SUBSTITUTE(SUBSTITUTE(SUBSTITUTE("Parts quote required - "&amp;D4&amp;" "&amp;E4,"%","%25"),"&amp;","%26")," ","%20"),"#","%23"),CHAR(10),"%0A")&amp;"&amp;body="&amp;SUBSTITUTE(SUBSTITUTE(SUBSTITUTE(SUBSTITUTE(SUBSTITUTE("Ref: "&amp;A4&amp;CHAR(10)&amp;"Customer: "&amp;D4&amp;"  "&amp;E4&amp;CHAR(10)&amp;"Phone: "&amp;F4&amp;CHAR(10)&amp;"Email: "&amp;G4&amp;CHAR(10)&amp;"Prefers: "&amp;H4&amp;CHAR(10)&amp;"Enquiry: "&amp;LEFT(I4,600)&amp;CHAR(10)&amp;CHAR(10)&amp;"Sent from the Preston Mazda enquiry log.","%","%25"),"&amp;","%26")," ","%20"),"#","%23"),CHAR(10),"%0A"),"✉ Email parts"),"")</f>
        <v>✉ Email parts</v>
      </c>
      <c r="U4" s="18" t="str">
        <f aca="false">IF(AND(N4="Yes",O4&lt;&gt;"Yes"),HYPERLINK("mailto:"&amp;Settings!$B$6&amp;"?subject="&amp;SUBSTITUTE(SUBSTITUTE(SUBSTITUTE(SUBSTITUTE(SUBSTITUTE("Customer contact required - "&amp;D4&amp;" "&amp;E4,"%","%25"),"&amp;","%26")," ","%20"),"#","%23"),CHAR(10),"%0A")&amp;"&amp;body="&amp;SUBSTITUTE(SUBSTITUTE(SUBSTITUTE(SUBSTITUTE(SUBSTITUTE("Ref: "&amp;A4&amp;CHAR(10)&amp;"Customer: "&amp;D4&amp;"  "&amp;E4&amp;CHAR(10)&amp;"Phone: "&amp;F4&amp;CHAR(10)&amp;"Email: "&amp;G4&amp;CHAR(10)&amp;"Prefers: "&amp;H4&amp;CHAR(10)&amp;"Enquiry: "&amp;LEFT(I4,600)&amp;CHAR(10)&amp;CHAR(10)&amp;"Sent from the Preston Mazda enquiry log.","%","%25"),"&amp;","%26")," ","%20"),"#","%23"),CHAR(10),"%0A"),"✉ Email advisors"),"")</f>
        <v>✉ Email advisors</v>
      </c>
      <c r="V4" s="18" t="str">
        <f aca="false">IF(OR(M4="",IFERROR(INDEX(Staff!$B$4:$B$33,MATCH(M4,Staff!$A$4:$A$33,0)),"")=""),"",HYPERLINK("mailto:"&amp;IFERROR(INDEX(Staff!$B$4:$B$33,MATCH(M4,Staff!$A$4:$A$33,0)),"")&amp;"?subject="&amp;SUBSTITUTE(SUBSTITUTE(SUBSTITUTE(SUBSTITUTE(SUBSTITUTE("Enquiry "&amp;A4&amp;" allocated to you - "&amp;D4,"%","%25"),"&amp;","%26")," ","%20"),"#","%23"),CHAR(10),"%0A")&amp;"&amp;body="&amp;SUBSTITUTE(SUBSTITUTE(SUBSTITUTE(SUBSTITUTE(SUBSTITUTE("Ref: "&amp;A4&amp;CHAR(10)&amp;"Customer: "&amp;D4&amp;"  "&amp;E4&amp;CHAR(10)&amp;"Phone: "&amp;F4&amp;CHAR(10)&amp;"Email: "&amp;G4&amp;CHAR(10)&amp;"Prefers: "&amp;H4&amp;CHAR(10)&amp;"Enquiry: "&amp;LEFT(I4,600)&amp;CHAR(10)&amp;CHAR(10)&amp;"Sent from the Preston Mazda enquiry log.","%","%25"),"&amp;","%26")," ","%20"),"#","%23"),CHAR(10),"%0A"),"✉ Email "&amp;M4))</f>
        <v>✉ Email Sam Carter</v>
      </c>
      <c r="W4" s="18" t="str">
        <f aca="false">IF(OR(P4="",IFERROR(INDEX(Staff!$E$4:$E$33,MATCH(P4,Staff!$D$4:$D$33,0)),"")=""),"",HYPERLINK("mailto:"&amp;IFERROR(INDEX(Staff!$E$4:$E$33,MATCH(P4,Staff!$D$4:$D$33,0)),"")&amp;"?subject="&amp;SUBSTITUTE(SUBSTITUTE(SUBSTITUTE(SUBSTITUTE(SUBSTITUTE("Parts quote "&amp;A4&amp;" allocated to you - "&amp;D4,"%","%25"),"&amp;","%26")," ","%20"),"#","%23"),CHAR(10),"%0A")&amp;"&amp;body="&amp;SUBSTITUTE(SUBSTITUTE(SUBSTITUTE(SUBSTITUTE(SUBSTITUTE("Ref: "&amp;A4&amp;CHAR(10)&amp;"Customer: "&amp;D4&amp;"  "&amp;E4&amp;CHAR(10)&amp;"Phone: "&amp;F4&amp;CHAR(10)&amp;"Email: "&amp;G4&amp;CHAR(10)&amp;"Prefers: "&amp;H4&amp;CHAR(10)&amp;"Enquiry: "&amp;LEFT(I4,600)&amp;CHAR(10)&amp;CHAR(10)&amp;"Sent from the Preston Mazda enquiry log.","%","%25"),"&amp;","%26")," ","%20"),"#","%23"),CHAR(10),"%0A"),"✉ Email "&amp;P4))</f>
        <v>✉ Email Pat Nguyen</v>
      </c>
    </row>
    <row r="5" customFormat="false" ht="15" hidden="false" customHeight="false" outlineLevel="0" collapsed="false">
      <c r="A5" s="10" t="str">
        <f aca="false">IF(D5="","","E-"&amp;TEXT(ROW()-3,"0000"))</f>
        <v/>
      </c>
      <c r="B5" s="11"/>
      <c r="C5" s="12"/>
      <c r="D5" s="13"/>
      <c r="E5" s="14"/>
      <c r="F5" s="12"/>
      <c r="G5" s="12"/>
      <c r="H5" s="15"/>
      <c r="I5" s="16"/>
      <c r="J5" s="17" t="str">
        <f aca="false">IF(D5="","",HYPERLINK(Settings!$B$7&amp;A5&amp;".pdf","Open "&amp;A5&amp;".pdf"))</f>
        <v/>
      </c>
      <c r="K5" s="16"/>
      <c r="L5" s="12"/>
      <c r="M5" s="12"/>
      <c r="N5" s="15"/>
      <c r="O5" s="15"/>
      <c r="P5" s="12"/>
      <c r="Q5" s="15"/>
      <c r="R5" s="15"/>
      <c r="S5" s="15" t="str">
        <f aca="false">IF(D5="","",IF(AND(O5="Yes",OR(Q5&lt;&gt;"Yes",R5="Yes")),"Complete","Open"))</f>
        <v/>
      </c>
      <c r="T5" s="18" t="str">
        <f aca="false">IF(AND(Q5="Yes",R5&lt;&gt;"Yes"),HYPERLINK("mailto:"&amp;Settings!$B$5&amp;"?subject="&amp;SUBSTITUTE(SUBSTITUTE(SUBSTITUTE(SUBSTITUTE(SUBSTITUTE("Parts quote required - "&amp;D5&amp;" "&amp;E5,"%","%25"),"&amp;","%26")," ","%20"),"#","%23"),CHAR(10),"%0A")&amp;"&amp;body="&amp;SUBSTITUTE(SUBSTITUTE(SUBSTITUTE(SUBSTITUTE(SUBSTITUTE("Ref: "&amp;A5&amp;CHAR(10)&amp;"Customer: "&amp;D5&amp;"  "&amp;E5&amp;CHAR(10)&amp;"Phone: "&amp;F5&amp;CHAR(10)&amp;"Email: "&amp;G5&amp;CHAR(10)&amp;"Prefers: "&amp;H5&amp;CHAR(10)&amp;"Enquiry: "&amp;LEFT(I5,600)&amp;CHAR(10)&amp;CHAR(10)&amp;"Sent from the Preston Mazda enquiry log.","%","%25"),"&amp;","%26")," ","%20"),"#","%23"),CHAR(10),"%0A"),"✉ Email parts"),"")</f>
        <v/>
      </c>
      <c r="U5" s="18" t="str">
        <f aca="false">IF(AND(N5="Yes",O5&lt;&gt;"Yes"),HYPERLINK("mailto:"&amp;Settings!$B$6&amp;"?subject="&amp;SUBSTITUTE(SUBSTITUTE(SUBSTITUTE(SUBSTITUTE(SUBSTITUTE("Customer contact required - "&amp;D5&amp;" "&amp;E5,"%","%25"),"&amp;","%26")," ","%20"),"#","%23"),CHAR(10),"%0A")&amp;"&amp;body="&amp;SUBSTITUTE(SUBSTITUTE(SUBSTITUTE(SUBSTITUTE(SUBSTITUTE("Ref: "&amp;A5&amp;CHAR(10)&amp;"Customer: "&amp;D5&amp;"  "&amp;E5&amp;CHAR(10)&amp;"Phone: "&amp;F5&amp;CHAR(10)&amp;"Email: "&amp;G5&amp;CHAR(10)&amp;"Prefers: "&amp;H5&amp;CHAR(10)&amp;"Enquiry: "&amp;LEFT(I5,600)&amp;CHAR(10)&amp;CHAR(10)&amp;"Sent from the Preston Mazda enquiry log.","%","%25"),"&amp;","%26")," ","%20"),"#","%23"),CHAR(10),"%0A"),"✉ Email advisors"),"")</f>
        <v/>
      </c>
      <c r="V5" s="18" t="str">
        <f aca="false">IF(OR(M5="",IFERROR(INDEX(Staff!$B$4:$B$33,MATCH(M5,Staff!$A$4:$A$33,0)),"")=""),"",HYPERLINK("mailto:"&amp;IFERROR(INDEX(Staff!$B$4:$B$33,MATCH(M5,Staff!$A$4:$A$33,0)),"")&amp;"?subject="&amp;SUBSTITUTE(SUBSTITUTE(SUBSTITUTE(SUBSTITUTE(SUBSTITUTE("Enquiry "&amp;A5&amp;" allocated to you - "&amp;D5,"%","%25"),"&amp;","%26")," ","%20"),"#","%23"),CHAR(10),"%0A")&amp;"&amp;body="&amp;SUBSTITUTE(SUBSTITUTE(SUBSTITUTE(SUBSTITUTE(SUBSTITUTE("Ref: "&amp;A5&amp;CHAR(10)&amp;"Customer: "&amp;D5&amp;"  "&amp;E5&amp;CHAR(10)&amp;"Phone: "&amp;F5&amp;CHAR(10)&amp;"Email: "&amp;G5&amp;CHAR(10)&amp;"Prefers: "&amp;H5&amp;CHAR(10)&amp;"Enquiry: "&amp;LEFT(I5,600)&amp;CHAR(10)&amp;CHAR(10)&amp;"Sent from the Preston Mazda enquiry log.","%","%25"),"&amp;","%26")," ","%20"),"#","%23"),CHAR(10),"%0A"),"✉ Email "&amp;M5))</f>
        <v/>
      </c>
      <c r="W5" s="18" t="str">
        <f aca="false">IF(OR(P5="",IFERROR(INDEX(Staff!$E$4:$E$33,MATCH(P5,Staff!$D$4:$D$33,0)),"")=""),"",HYPERLINK("mailto:"&amp;IFERROR(INDEX(Staff!$E$4:$E$33,MATCH(P5,Staff!$D$4:$D$33,0)),"")&amp;"?subject="&amp;SUBSTITUTE(SUBSTITUTE(SUBSTITUTE(SUBSTITUTE(SUBSTITUTE("Parts quote "&amp;A5&amp;" allocated to you - "&amp;D5,"%","%25"),"&amp;","%26")," ","%20"),"#","%23"),CHAR(10),"%0A")&amp;"&amp;body="&amp;SUBSTITUTE(SUBSTITUTE(SUBSTITUTE(SUBSTITUTE(SUBSTITUTE("Ref: "&amp;A5&amp;CHAR(10)&amp;"Customer: "&amp;D5&amp;"  "&amp;E5&amp;CHAR(10)&amp;"Phone: "&amp;F5&amp;CHAR(10)&amp;"Email: "&amp;G5&amp;CHAR(10)&amp;"Prefers: "&amp;H5&amp;CHAR(10)&amp;"Enquiry: "&amp;LEFT(I5,600)&amp;CHAR(10)&amp;CHAR(10)&amp;"Sent from the Preston Mazda enquiry log.","%","%25"),"&amp;","%26")," ","%20"),"#","%23"),CHAR(10),"%0A"),"✉ Email "&amp;P5))</f>
        <v/>
      </c>
    </row>
    <row r="6" customFormat="false" ht="15" hidden="false" customHeight="false" outlineLevel="0" collapsed="false">
      <c r="A6" s="10" t="str">
        <f aca="false">IF(D6="","","E-"&amp;TEXT(ROW()-3,"0000"))</f>
        <v/>
      </c>
      <c r="B6" s="11"/>
      <c r="C6" s="12"/>
      <c r="D6" s="13"/>
      <c r="E6" s="14"/>
      <c r="F6" s="12"/>
      <c r="G6" s="12"/>
      <c r="H6" s="15"/>
      <c r="I6" s="16"/>
      <c r="J6" s="17" t="str">
        <f aca="false">IF(D6="","",HYPERLINK(Settings!$B$7&amp;A6&amp;".pdf","Open "&amp;A6&amp;".pdf"))</f>
        <v/>
      </c>
      <c r="K6" s="16"/>
      <c r="L6" s="12"/>
      <c r="M6" s="12"/>
      <c r="N6" s="15"/>
      <c r="O6" s="15"/>
      <c r="P6" s="12"/>
      <c r="Q6" s="15"/>
      <c r="R6" s="15"/>
      <c r="S6" s="15" t="str">
        <f aca="false">IF(D6="","",IF(AND(O6="Yes",OR(Q6&lt;&gt;"Yes",R6="Yes")),"Complete","Open"))</f>
        <v/>
      </c>
      <c r="T6" s="18" t="str">
        <f aca="false">IF(AND(Q6="Yes",R6&lt;&gt;"Yes"),HYPERLINK("mailto:"&amp;Settings!$B$5&amp;"?subject="&amp;SUBSTITUTE(SUBSTITUTE(SUBSTITUTE(SUBSTITUTE(SUBSTITUTE("Parts quote required - "&amp;D6&amp;" "&amp;E6,"%","%25"),"&amp;","%26")," ","%20"),"#","%23"),CHAR(10),"%0A")&amp;"&amp;body="&amp;SUBSTITUTE(SUBSTITUTE(SUBSTITUTE(SUBSTITUTE(SUBSTITUTE("Ref: "&amp;A6&amp;CHAR(10)&amp;"Customer: "&amp;D6&amp;"  "&amp;E6&amp;CHAR(10)&amp;"Phone: "&amp;F6&amp;CHAR(10)&amp;"Email: "&amp;G6&amp;CHAR(10)&amp;"Prefers: "&amp;H6&amp;CHAR(10)&amp;"Enquiry: "&amp;LEFT(I6,600)&amp;CHAR(10)&amp;CHAR(10)&amp;"Sent from the Preston Mazda enquiry log.","%","%25"),"&amp;","%26")," ","%20"),"#","%23"),CHAR(10),"%0A"),"✉ Email parts"),"")</f>
        <v/>
      </c>
      <c r="U6" s="18" t="str">
        <f aca="false">IF(AND(N6="Yes",O6&lt;&gt;"Yes"),HYPERLINK("mailto:"&amp;Settings!$B$6&amp;"?subject="&amp;SUBSTITUTE(SUBSTITUTE(SUBSTITUTE(SUBSTITUTE(SUBSTITUTE("Customer contact required - "&amp;D6&amp;" "&amp;E6,"%","%25"),"&amp;","%26")," ","%20"),"#","%23"),CHAR(10),"%0A")&amp;"&amp;body="&amp;SUBSTITUTE(SUBSTITUTE(SUBSTITUTE(SUBSTITUTE(SUBSTITUTE("Ref: "&amp;A6&amp;CHAR(10)&amp;"Customer: "&amp;D6&amp;"  "&amp;E6&amp;CHAR(10)&amp;"Phone: "&amp;F6&amp;CHAR(10)&amp;"Email: "&amp;G6&amp;CHAR(10)&amp;"Prefers: "&amp;H6&amp;CHAR(10)&amp;"Enquiry: "&amp;LEFT(I6,600)&amp;CHAR(10)&amp;CHAR(10)&amp;"Sent from the Preston Mazda enquiry log.","%","%25"),"&amp;","%26")," ","%20"),"#","%23"),CHAR(10),"%0A"),"✉ Email advisors"),"")</f>
        <v/>
      </c>
      <c r="V6" s="18" t="str">
        <f aca="false">IF(OR(M6="",IFERROR(INDEX(Staff!$B$4:$B$33,MATCH(M6,Staff!$A$4:$A$33,0)),"")=""),"",HYPERLINK("mailto:"&amp;IFERROR(INDEX(Staff!$B$4:$B$33,MATCH(M6,Staff!$A$4:$A$33,0)),"")&amp;"?subject="&amp;SUBSTITUTE(SUBSTITUTE(SUBSTITUTE(SUBSTITUTE(SUBSTITUTE("Enquiry "&amp;A6&amp;" allocated to you - "&amp;D6,"%","%25"),"&amp;","%26")," ","%20"),"#","%23"),CHAR(10),"%0A")&amp;"&amp;body="&amp;SUBSTITUTE(SUBSTITUTE(SUBSTITUTE(SUBSTITUTE(SUBSTITUTE("Ref: "&amp;A6&amp;CHAR(10)&amp;"Customer: "&amp;D6&amp;"  "&amp;E6&amp;CHAR(10)&amp;"Phone: "&amp;F6&amp;CHAR(10)&amp;"Email: "&amp;G6&amp;CHAR(10)&amp;"Prefers: "&amp;H6&amp;CHAR(10)&amp;"Enquiry: "&amp;LEFT(I6,600)&amp;CHAR(10)&amp;CHAR(10)&amp;"Sent from the Preston Mazda enquiry log.","%","%25"),"&amp;","%26")," ","%20"),"#","%23"),CHAR(10),"%0A"),"✉ Email "&amp;M6))</f>
        <v/>
      </c>
      <c r="W6" s="18" t="str">
        <f aca="false">IF(OR(P6="",IFERROR(INDEX(Staff!$E$4:$E$33,MATCH(P6,Staff!$D$4:$D$33,0)),"")=""),"",HYPERLINK("mailto:"&amp;IFERROR(INDEX(Staff!$E$4:$E$33,MATCH(P6,Staff!$D$4:$D$33,0)),"")&amp;"?subject="&amp;SUBSTITUTE(SUBSTITUTE(SUBSTITUTE(SUBSTITUTE(SUBSTITUTE("Parts quote "&amp;A6&amp;" allocated to you - "&amp;D6,"%","%25"),"&amp;","%26")," ","%20"),"#","%23"),CHAR(10),"%0A")&amp;"&amp;body="&amp;SUBSTITUTE(SUBSTITUTE(SUBSTITUTE(SUBSTITUTE(SUBSTITUTE("Ref: "&amp;A6&amp;CHAR(10)&amp;"Customer: "&amp;D6&amp;"  "&amp;E6&amp;CHAR(10)&amp;"Phone: "&amp;F6&amp;CHAR(10)&amp;"Email: "&amp;G6&amp;CHAR(10)&amp;"Prefers: "&amp;H6&amp;CHAR(10)&amp;"Enquiry: "&amp;LEFT(I6,600)&amp;CHAR(10)&amp;CHAR(10)&amp;"Sent from the Preston Mazda enquiry log.","%","%25"),"&amp;","%26")," ","%20"),"#","%23"),CHAR(10),"%0A"),"✉ Email "&amp;P6))</f>
        <v/>
      </c>
    </row>
    <row r="7" customFormat="false" ht="15" hidden="false" customHeight="false" outlineLevel="0" collapsed="false">
      <c r="A7" s="10" t="str">
        <f aca="false">IF(D7="","","E-"&amp;TEXT(ROW()-3,"0000"))</f>
        <v/>
      </c>
      <c r="B7" s="11"/>
      <c r="C7" s="12"/>
      <c r="D7" s="13"/>
      <c r="E7" s="14"/>
      <c r="F7" s="12"/>
      <c r="G7" s="12"/>
      <c r="H7" s="15"/>
      <c r="I7" s="16"/>
      <c r="J7" s="17" t="str">
        <f aca="false">IF(D7="","",HYPERLINK(Settings!$B$7&amp;A7&amp;".pdf","Open "&amp;A7&amp;".pdf"))</f>
        <v/>
      </c>
      <c r="K7" s="16"/>
      <c r="L7" s="12"/>
      <c r="M7" s="12"/>
      <c r="N7" s="15"/>
      <c r="O7" s="15"/>
      <c r="P7" s="12"/>
      <c r="Q7" s="15"/>
      <c r="R7" s="15"/>
      <c r="S7" s="15" t="str">
        <f aca="false">IF(D7="","",IF(AND(O7="Yes",OR(Q7&lt;&gt;"Yes",R7="Yes")),"Complete","Open"))</f>
        <v/>
      </c>
      <c r="T7" s="18" t="str">
        <f aca="false">IF(AND(Q7="Yes",R7&lt;&gt;"Yes"),HYPERLINK("mailto:"&amp;Settings!$B$5&amp;"?subject="&amp;SUBSTITUTE(SUBSTITUTE(SUBSTITUTE(SUBSTITUTE(SUBSTITUTE("Parts quote required - "&amp;D7&amp;" "&amp;E7,"%","%25"),"&amp;","%26")," ","%20"),"#","%23"),CHAR(10),"%0A")&amp;"&amp;body="&amp;SUBSTITUTE(SUBSTITUTE(SUBSTITUTE(SUBSTITUTE(SUBSTITUTE("Ref: "&amp;A7&amp;CHAR(10)&amp;"Customer: "&amp;D7&amp;"  "&amp;E7&amp;CHAR(10)&amp;"Phone: "&amp;F7&amp;CHAR(10)&amp;"Email: "&amp;G7&amp;CHAR(10)&amp;"Prefers: "&amp;H7&amp;CHAR(10)&amp;"Enquiry: "&amp;LEFT(I7,600)&amp;CHAR(10)&amp;CHAR(10)&amp;"Sent from the Preston Mazda enquiry log.","%","%25"),"&amp;","%26")," ","%20"),"#","%23"),CHAR(10),"%0A"),"✉ Email parts"),"")</f>
        <v/>
      </c>
      <c r="U7" s="18" t="str">
        <f aca="false">IF(AND(N7="Yes",O7&lt;&gt;"Yes"),HYPERLINK("mailto:"&amp;Settings!$B$6&amp;"?subject="&amp;SUBSTITUTE(SUBSTITUTE(SUBSTITUTE(SUBSTITUTE(SUBSTITUTE("Customer contact required - "&amp;D7&amp;" "&amp;E7,"%","%25"),"&amp;","%26")," ","%20"),"#","%23"),CHAR(10),"%0A")&amp;"&amp;body="&amp;SUBSTITUTE(SUBSTITUTE(SUBSTITUTE(SUBSTITUTE(SUBSTITUTE("Ref: "&amp;A7&amp;CHAR(10)&amp;"Customer: "&amp;D7&amp;"  "&amp;E7&amp;CHAR(10)&amp;"Phone: "&amp;F7&amp;CHAR(10)&amp;"Email: "&amp;G7&amp;CHAR(10)&amp;"Prefers: "&amp;H7&amp;CHAR(10)&amp;"Enquiry: "&amp;LEFT(I7,600)&amp;CHAR(10)&amp;CHAR(10)&amp;"Sent from the Preston Mazda enquiry log.","%","%25"),"&amp;","%26")," ","%20"),"#","%23"),CHAR(10),"%0A"),"✉ Email advisors"),"")</f>
        <v/>
      </c>
      <c r="V7" s="18" t="str">
        <f aca="false">IF(OR(M7="",IFERROR(INDEX(Staff!$B$4:$B$33,MATCH(M7,Staff!$A$4:$A$33,0)),"")=""),"",HYPERLINK("mailto:"&amp;IFERROR(INDEX(Staff!$B$4:$B$33,MATCH(M7,Staff!$A$4:$A$33,0)),"")&amp;"?subject="&amp;SUBSTITUTE(SUBSTITUTE(SUBSTITUTE(SUBSTITUTE(SUBSTITUTE("Enquiry "&amp;A7&amp;" allocated to you - "&amp;D7,"%","%25"),"&amp;","%26")," ","%20"),"#","%23"),CHAR(10),"%0A")&amp;"&amp;body="&amp;SUBSTITUTE(SUBSTITUTE(SUBSTITUTE(SUBSTITUTE(SUBSTITUTE("Ref: "&amp;A7&amp;CHAR(10)&amp;"Customer: "&amp;D7&amp;"  "&amp;E7&amp;CHAR(10)&amp;"Phone: "&amp;F7&amp;CHAR(10)&amp;"Email: "&amp;G7&amp;CHAR(10)&amp;"Prefers: "&amp;H7&amp;CHAR(10)&amp;"Enquiry: "&amp;LEFT(I7,600)&amp;CHAR(10)&amp;CHAR(10)&amp;"Sent from the Preston Mazda enquiry log.","%","%25"),"&amp;","%26")," ","%20"),"#","%23"),CHAR(10),"%0A"),"✉ Email "&amp;M7))</f>
        <v/>
      </c>
      <c r="W7" s="18" t="str">
        <f aca="false">IF(OR(P7="",IFERROR(INDEX(Staff!$E$4:$E$33,MATCH(P7,Staff!$D$4:$D$33,0)),"")=""),"",HYPERLINK("mailto:"&amp;IFERROR(INDEX(Staff!$E$4:$E$33,MATCH(P7,Staff!$D$4:$D$33,0)),"")&amp;"?subject="&amp;SUBSTITUTE(SUBSTITUTE(SUBSTITUTE(SUBSTITUTE(SUBSTITUTE("Parts quote "&amp;A7&amp;" allocated to you - "&amp;D7,"%","%25"),"&amp;","%26")," ","%20"),"#","%23"),CHAR(10),"%0A")&amp;"&amp;body="&amp;SUBSTITUTE(SUBSTITUTE(SUBSTITUTE(SUBSTITUTE(SUBSTITUTE("Ref: "&amp;A7&amp;CHAR(10)&amp;"Customer: "&amp;D7&amp;"  "&amp;E7&amp;CHAR(10)&amp;"Phone: "&amp;F7&amp;CHAR(10)&amp;"Email: "&amp;G7&amp;CHAR(10)&amp;"Prefers: "&amp;H7&amp;CHAR(10)&amp;"Enquiry: "&amp;LEFT(I7,600)&amp;CHAR(10)&amp;CHAR(10)&amp;"Sent from the Preston Mazda enquiry log.","%","%25"),"&amp;","%26")," ","%20"),"#","%23"),CHAR(10),"%0A"),"✉ Email "&amp;P7))</f>
        <v/>
      </c>
    </row>
    <row r="8" customFormat="false" ht="15" hidden="false" customHeight="false" outlineLevel="0" collapsed="false">
      <c r="A8" s="10" t="str">
        <f aca="false">IF(D8="","","E-"&amp;TEXT(ROW()-3,"0000"))</f>
        <v/>
      </c>
      <c r="B8" s="11"/>
      <c r="C8" s="12"/>
      <c r="D8" s="13"/>
      <c r="E8" s="14"/>
      <c r="F8" s="12"/>
      <c r="G8" s="12"/>
      <c r="H8" s="15"/>
      <c r="I8" s="16"/>
      <c r="J8" s="17" t="str">
        <f aca="false">IF(D8="","",HYPERLINK(Settings!$B$7&amp;A8&amp;".pdf","Open "&amp;A8&amp;".pdf"))</f>
        <v/>
      </c>
      <c r="K8" s="16"/>
      <c r="L8" s="12"/>
      <c r="M8" s="12"/>
      <c r="N8" s="15"/>
      <c r="O8" s="15"/>
      <c r="P8" s="12"/>
      <c r="Q8" s="15"/>
      <c r="R8" s="15"/>
      <c r="S8" s="15" t="str">
        <f aca="false">IF(D8="","",IF(AND(O8="Yes",OR(Q8&lt;&gt;"Yes",R8="Yes")),"Complete","Open"))</f>
        <v/>
      </c>
      <c r="T8" s="18" t="str">
        <f aca="false">IF(AND(Q8="Yes",R8&lt;&gt;"Yes"),HYPERLINK("mailto:"&amp;Settings!$B$5&amp;"?subject="&amp;SUBSTITUTE(SUBSTITUTE(SUBSTITUTE(SUBSTITUTE(SUBSTITUTE("Parts quote required - "&amp;D8&amp;" "&amp;E8,"%","%25"),"&amp;","%26")," ","%20"),"#","%23"),CHAR(10),"%0A")&amp;"&amp;body="&amp;SUBSTITUTE(SUBSTITUTE(SUBSTITUTE(SUBSTITUTE(SUBSTITUTE("Ref: "&amp;A8&amp;CHAR(10)&amp;"Customer: "&amp;D8&amp;"  "&amp;E8&amp;CHAR(10)&amp;"Phone: "&amp;F8&amp;CHAR(10)&amp;"Email: "&amp;G8&amp;CHAR(10)&amp;"Prefers: "&amp;H8&amp;CHAR(10)&amp;"Enquiry: "&amp;LEFT(I8,600)&amp;CHAR(10)&amp;CHAR(10)&amp;"Sent from the Preston Mazda enquiry log.","%","%25"),"&amp;","%26")," ","%20"),"#","%23"),CHAR(10),"%0A"),"✉ Email parts"),"")</f>
        <v/>
      </c>
      <c r="U8" s="18" t="str">
        <f aca="false">IF(AND(N8="Yes",O8&lt;&gt;"Yes"),HYPERLINK("mailto:"&amp;Settings!$B$6&amp;"?subject="&amp;SUBSTITUTE(SUBSTITUTE(SUBSTITUTE(SUBSTITUTE(SUBSTITUTE("Customer contact required - "&amp;D8&amp;" "&amp;E8,"%","%25"),"&amp;","%26")," ","%20"),"#","%23"),CHAR(10),"%0A")&amp;"&amp;body="&amp;SUBSTITUTE(SUBSTITUTE(SUBSTITUTE(SUBSTITUTE(SUBSTITUTE("Ref: "&amp;A8&amp;CHAR(10)&amp;"Customer: "&amp;D8&amp;"  "&amp;E8&amp;CHAR(10)&amp;"Phone: "&amp;F8&amp;CHAR(10)&amp;"Email: "&amp;G8&amp;CHAR(10)&amp;"Prefers: "&amp;H8&amp;CHAR(10)&amp;"Enquiry: "&amp;LEFT(I8,600)&amp;CHAR(10)&amp;CHAR(10)&amp;"Sent from the Preston Mazda enquiry log.","%","%25"),"&amp;","%26")," ","%20"),"#","%23"),CHAR(10),"%0A"),"✉ Email advisors"),"")</f>
        <v/>
      </c>
      <c r="V8" s="18" t="str">
        <f aca="false">IF(OR(M8="",IFERROR(INDEX(Staff!$B$4:$B$33,MATCH(M8,Staff!$A$4:$A$33,0)),"")=""),"",HYPERLINK("mailto:"&amp;IFERROR(INDEX(Staff!$B$4:$B$33,MATCH(M8,Staff!$A$4:$A$33,0)),"")&amp;"?subject="&amp;SUBSTITUTE(SUBSTITUTE(SUBSTITUTE(SUBSTITUTE(SUBSTITUTE("Enquiry "&amp;A8&amp;" allocated to you - "&amp;D8,"%","%25"),"&amp;","%26")," ","%20"),"#","%23"),CHAR(10),"%0A")&amp;"&amp;body="&amp;SUBSTITUTE(SUBSTITUTE(SUBSTITUTE(SUBSTITUTE(SUBSTITUTE("Ref: "&amp;A8&amp;CHAR(10)&amp;"Customer: "&amp;D8&amp;"  "&amp;E8&amp;CHAR(10)&amp;"Phone: "&amp;F8&amp;CHAR(10)&amp;"Email: "&amp;G8&amp;CHAR(10)&amp;"Prefers: "&amp;H8&amp;CHAR(10)&amp;"Enquiry: "&amp;LEFT(I8,600)&amp;CHAR(10)&amp;CHAR(10)&amp;"Sent from the Preston Mazda enquiry log.","%","%25"),"&amp;","%26")," ","%20"),"#","%23"),CHAR(10),"%0A"),"✉ Email "&amp;M8))</f>
        <v/>
      </c>
      <c r="W8" s="18" t="str">
        <f aca="false">IF(OR(P8="",IFERROR(INDEX(Staff!$E$4:$E$33,MATCH(P8,Staff!$D$4:$D$33,0)),"")=""),"",HYPERLINK("mailto:"&amp;IFERROR(INDEX(Staff!$E$4:$E$33,MATCH(P8,Staff!$D$4:$D$33,0)),"")&amp;"?subject="&amp;SUBSTITUTE(SUBSTITUTE(SUBSTITUTE(SUBSTITUTE(SUBSTITUTE("Parts quote "&amp;A8&amp;" allocated to you - "&amp;D8,"%","%25"),"&amp;","%26")," ","%20"),"#","%23"),CHAR(10),"%0A")&amp;"&amp;body="&amp;SUBSTITUTE(SUBSTITUTE(SUBSTITUTE(SUBSTITUTE(SUBSTITUTE("Ref: "&amp;A8&amp;CHAR(10)&amp;"Customer: "&amp;D8&amp;"  "&amp;E8&amp;CHAR(10)&amp;"Phone: "&amp;F8&amp;CHAR(10)&amp;"Email: "&amp;G8&amp;CHAR(10)&amp;"Prefers: "&amp;H8&amp;CHAR(10)&amp;"Enquiry: "&amp;LEFT(I8,600)&amp;CHAR(10)&amp;CHAR(10)&amp;"Sent from the Preston Mazda enquiry log.","%","%25"),"&amp;","%26")," ","%20"),"#","%23"),CHAR(10),"%0A"),"✉ Email "&amp;P8))</f>
        <v/>
      </c>
    </row>
    <row r="9" customFormat="false" ht="15" hidden="false" customHeight="false" outlineLevel="0" collapsed="false">
      <c r="A9" s="10" t="str">
        <f aca="false">IF(D9="","","E-"&amp;TEXT(ROW()-3,"0000"))</f>
        <v/>
      </c>
      <c r="B9" s="11"/>
      <c r="C9" s="12"/>
      <c r="D9" s="13"/>
      <c r="E9" s="14"/>
      <c r="F9" s="12"/>
      <c r="G9" s="12"/>
      <c r="H9" s="15"/>
      <c r="I9" s="16"/>
      <c r="J9" s="17" t="str">
        <f aca="false">IF(D9="","",HYPERLINK(Settings!$B$7&amp;A9&amp;".pdf","Open "&amp;A9&amp;".pdf"))</f>
        <v/>
      </c>
      <c r="K9" s="16"/>
      <c r="L9" s="12"/>
      <c r="M9" s="12"/>
      <c r="N9" s="15"/>
      <c r="O9" s="15"/>
      <c r="P9" s="12"/>
      <c r="Q9" s="15"/>
      <c r="R9" s="15"/>
      <c r="S9" s="15" t="str">
        <f aca="false">IF(D9="","",IF(AND(O9="Yes",OR(Q9&lt;&gt;"Yes",R9="Yes")),"Complete","Open"))</f>
        <v/>
      </c>
      <c r="T9" s="18" t="str">
        <f aca="false">IF(AND(Q9="Yes",R9&lt;&gt;"Yes"),HYPERLINK("mailto:"&amp;Settings!$B$5&amp;"?subject="&amp;SUBSTITUTE(SUBSTITUTE(SUBSTITUTE(SUBSTITUTE(SUBSTITUTE("Parts quote required - "&amp;D9&amp;" "&amp;E9,"%","%25"),"&amp;","%26")," ","%20"),"#","%23"),CHAR(10),"%0A")&amp;"&amp;body="&amp;SUBSTITUTE(SUBSTITUTE(SUBSTITUTE(SUBSTITUTE(SUBSTITUTE("Ref: "&amp;A9&amp;CHAR(10)&amp;"Customer: "&amp;D9&amp;"  "&amp;E9&amp;CHAR(10)&amp;"Phone: "&amp;F9&amp;CHAR(10)&amp;"Email: "&amp;G9&amp;CHAR(10)&amp;"Prefers: "&amp;H9&amp;CHAR(10)&amp;"Enquiry: "&amp;LEFT(I9,600)&amp;CHAR(10)&amp;CHAR(10)&amp;"Sent from the Preston Mazda enquiry log.","%","%25"),"&amp;","%26")," ","%20"),"#","%23"),CHAR(10),"%0A"),"✉ Email parts"),"")</f>
        <v/>
      </c>
      <c r="U9" s="18" t="str">
        <f aca="false">IF(AND(N9="Yes",O9&lt;&gt;"Yes"),HYPERLINK("mailto:"&amp;Settings!$B$6&amp;"?subject="&amp;SUBSTITUTE(SUBSTITUTE(SUBSTITUTE(SUBSTITUTE(SUBSTITUTE("Customer contact required - "&amp;D9&amp;" "&amp;E9,"%","%25"),"&amp;","%26")," ","%20"),"#","%23"),CHAR(10),"%0A")&amp;"&amp;body="&amp;SUBSTITUTE(SUBSTITUTE(SUBSTITUTE(SUBSTITUTE(SUBSTITUTE("Ref: "&amp;A9&amp;CHAR(10)&amp;"Customer: "&amp;D9&amp;"  "&amp;E9&amp;CHAR(10)&amp;"Phone: "&amp;F9&amp;CHAR(10)&amp;"Email: "&amp;G9&amp;CHAR(10)&amp;"Prefers: "&amp;H9&amp;CHAR(10)&amp;"Enquiry: "&amp;LEFT(I9,600)&amp;CHAR(10)&amp;CHAR(10)&amp;"Sent from the Preston Mazda enquiry log.","%","%25"),"&amp;","%26")," ","%20"),"#","%23"),CHAR(10),"%0A"),"✉ Email advisors"),"")</f>
        <v/>
      </c>
      <c r="V9" s="18" t="str">
        <f aca="false">IF(OR(M9="",IFERROR(INDEX(Staff!$B$4:$B$33,MATCH(M9,Staff!$A$4:$A$33,0)),"")=""),"",HYPERLINK("mailto:"&amp;IFERROR(INDEX(Staff!$B$4:$B$33,MATCH(M9,Staff!$A$4:$A$33,0)),"")&amp;"?subject="&amp;SUBSTITUTE(SUBSTITUTE(SUBSTITUTE(SUBSTITUTE(SUBSTITUTE("Enquiry "&amp;A9&amp;" allocated to you - "&amp;D9,"%","%25"),"&amp;","%26")," ","%20"),"#","%23"),CHAR(10),"%0A")&amp;"&amp;body="&amp;SUBSTITUTE(SUBSTITUTE(SUBSTITUTE(SUBSTITUTE(SUBSTITUTE("Ref: "&amp;A9&amp;CHAR(10)&amp;"Customer: "&amp;D9&amp;"  "&amp;E9&amp;CHAR(10)&amp;"Phone: "&amp;F9&amp;CHAR(10)&amp;"Email: "&amp;G9&amp;CHAR(10)&amp;"Prefers: "&amp;H9&amp;CHAR(10)&amp;"Enquiry: "&amp;LEFT(I9,600)&amp;CHAR(10)&amp;CHAR(10)&amp;"Sent from the Preston Mazda enquiry log.","%","%25"),"&amp;","%26")," ","%20"),"#","%23"),CHAR(10),"%0A"),"✉ Email "&amp;M9))</f>
        <v/>
      </c>
      <c r="W9" s="18" t="str">
        <f aca="false">IF(OR(P9="",IFERROR(INDEX(Staff!$E$4:$E$33,MATCH(P9,Staff!$D$4:$D$33,0)),"")=""),"",HYPERLINK("mailto:"&amp;IFERROR(INDEX(Staff!$E$4:$E$33,MATCH(P9,Staff!$D$4:$D$33,0)),"")&amp;"?subject="&amp;SUBSTITUTE(SUBSTITUTE(SUBSTITUTE(SUBSTITUTE(SUBSTITUTE("Parts quote "&amp;A9&amp;" allocated to you - "&amp;D9,"%","%25"),"&amp;","%26")," ","%20"),"#","%23"),CHAR(10),"%0A")&amp;"&amp;body="&amp;SUBSTITUTE(SUBSTITUTE(SUBSTITUTE(SUBSTITUTE(SUBSTITUTE("Ref: "&amp;A9&amp;CHAR(10)&amp;"Customer: "&amp;D9&amp;"  "&amp;E9&amp;CHAR(10)&amp;"Phone: "&amp;F9&amp;CHAR(10)&amp;"Email: "&amp;G9&amp;CHAR(10)&amp;"Prefers: "&amp;H9&amp;CHAR(10)&amp;"Enquiry: "&amp;LEFT(I9,600)&amp;CHAR(10)&amp;CHAR(10)&amp;"Sent from the Preston Mazda enquiry log.","%","%25"),"&amp;","%26")," ","%20"),"#","%23"),CHAR(10),"%0A"),"✉ Email "&amp;P9))</f>
        <v/>
      </c>
    </row>
    <row r="10" customFormat="false" ht="15" hidden="false" customHeight="false" outlineLevel="0" collapsed="false">
      <c r="A10" s="10" t="str">
        <f aca="false">IF(D10="","","E-"&amp;TEXT(ROW()-3,"0000"))</f>
        <v/>
      </c>
      <c r="B10" s="11"/>
      <c r="C10" s="12"/>
      <c r="D10" s="13"/>
      <c r="E10" s="14"/>
      <c r="F10" s="12"/>
      <c r="G10" s="12"/>
      <c r="H10" s="15"/>
      <c r="I10" s="16"/>
      <c r="J10" s="17" t="str">
        <f aca="false">IF(D10="","",HYPERLINK(Settings!$B$7&amp;A10&amp;".pdf","Open "&amp;A10&amp;".pdf"))</f>
        <v/>
      </c>
      <c r="K10" s="16"/>
      <c r="L10" s="12"/>
      <c r="M10" s="12"/>
      <c r="N10" s="15"/>
      <c r="O10" s="15"/>
      <c r="P10" s="12"/>
      <c r="Q10" s="15"/>
      <c r="R10" s="15"/>
      <c r="S10" s="15" t="str">
        <f aca="false">IF(D10="","",IF(AND(O10="Yes",OR(Q10&lt;&gt;"Yes",R10="Yes")),"Complete","Open"))</f>
        <v/>
      </c>
      <c r="T10" s="18" t="str">
        <f aca="false">IF(AND(Q10="Yes",R10&lt;&gt;"Yes"),HYPERLINK("mailto:"&amp;Settings!$B$5&amp;"?subject="&amp;SUBSTITUTE(SUBSTITUTE(SUBSTITUTE(SUBSTITUTE(SUBSTITUTE("Parts quote required - "&amp;D10&amp;" "&amp;E10,"%","%25"),"&amp;","%26")," ","%20"),"#","%23"),CHAR(10),"%0A")&amp;"&amp;body="&amp;SUBSTITUTE(SUBSTITUTE(SUBSTITUTE(SUBSTITUTE(SUBSTITUTE("Ref: "&amp;A10&amp;CHAR(10)&amp;"Customer: "&amp;D10&amp;"  "&amp;E10&amp;CHAR(10)&amp;"Phone: "&amp;F10&amp;CHAR(10)&amp;"Email: "&amp;G10&amp;CHAR(10)&amp;"Prefers: "&amp;H10&amp;CHAR(10)&amp;"Enquiry: "&amp;LEFT(I10,600)&amp;CHAR(10)&amp;CHAR(10)&amp;"Sent from the Preston Mazda enquiry log.","%","%25"),"&amp;","%26")," ","%20"),"#","%23"),CHAR(10),"%0A"),"✉ Email parts"),"")</f>
        <v/>
      </c>
      <c r="U10" s="18" t="str">
        <f aca="false">IF(AND(N10="Yes",O10&lt;&gt;"Yes"),HYPERLINK("mailto:"&amp;Settings!$B$6&amp;"?subject="&amp;SUBSTITUTE(SUBSTITUTE(SUBSTITUTE(SUBSTITUTE(SUBSTITUTE("Customer contact required - "&amp;D10&amp;" "&amp;E10,"%","%25"),"&amp;","%26")," ","%20"),"#","%23"),CHAR(10),"%0A")&amp;"&amp;body="&amp;SUBSTITUTE(SUBSTITUTE(SUBSTITUTE(SUBSTITUTE(SUBSTITUTE("Ref: "&amp;A10&amp;CHAR(10)&amp;"Customer: "&amp;D10&amp;"  "&amp;E10&amp;CHAR(10)&amp;"Phone: "&amp;F10&amp;CHAR(10)&amp;"Email: "&amp;G10&amp;CHAR(10)&amp;"Prefers: "&amp;H10&amp;CHAR(10)&amp;"Enquiry: "&amp;LEFT(I10,600)&amp;CHAR(10)&amp;CHAR(10)&amp;"Sent from the Preston Mazda enquiry log.","%","%25"),"&amp;","%26")," ","%20"),"#","%23"),CHAR(10),"%0A"),"✉ Email advisors"),"")</f>
        <v/>
      </c>
      <c r="V10" s="18" t="str">
        <f aca="false">IF(OR(M10="",IFERROR(INDEX(Staff!$B$4:$B$33,MATCH(M10,Staff!$A$4:$A$33,0)),"")=""),"",HYPERLINK("mailto:"&amp;IFERROR(INDEX(Staff!$B$4:$B$33,MATCH(M10,Staff!$A$4:$A$33,0)),"")&amp;"?subject="&amp;SUBSTITUTE(SUBSTITUTE(SUBSTITUTE(SUBSTITUTE(SUBSTITUTE("Enquiry "&amp;A10&amp;" allocated to you - "&amp;D10,"%","%25"),"&amp;","%26")," ","%20"),"#","%23"),CHAR(10),"%0A")&amp;"&amp;body="&amp;SUBSTITUTE(SUBSTITUTE(SUBSTITUTE(SUBSTITUTE(SUBSTITUTE("Ref: "&amp;A10&amp;CHAR(10)&amp;"Customer: "&amp;D10&amp;"  "&amp;E10&amp;CHAR(10)&amp;"Phone: "&amp;F10&amp;CHAR(10)&amp;"Email: "&amp;G10&amp;CHAR(10)&amp;"Prefers: "&amp;H10&amp;CHAR(10)&amp;"Enquiry: "&amp;LEFT(I10,600)&amp;CHAR(10)&amp;CHAR(10)&amp;"Sent from the Preston Mazda enquiry log.","%","%25"),"&amp;","%26")," ","%20"),"#","%23"),CHAR(10),"%0A"),"✉ Email "&amp;M10))</f>
        <v/>
      </c>
      <c r="W10" s="18" t="str">
        <f aca="false">IF(OR(P10="",IFERROR(INDEX(Staff!$E$4:$E$33,MATCH(P10,Staff!$D$4:$D$33,0)),"")=""),"",HYPERLINK("mailto:"&amp;IFERROR(INDEX(Staff!$E$4:$E$33,MATCH(P10,Staff!$D$4:$D$33,0)),"")&amp;"?subject="&amp;SUBSTITUTE(SUBSTITUTE(SUBSTITUTE(SUBSTITUTE(SUBSTITUTE("Parts quote "&amp;A10&amp;" allocated to you - "&amp;D10,"%","%25"),"&amp;","%26")," ","%20"),"#","%23"),CHAR(10),"%0A")&amp;"&amp;body="&amp;SUBSTITUTE(SUBSTITUTE(SUBSTITUTE(SUBSTITUTE(SUBSTITUTE("Ref: "&amp;A10&amp;CHAR(10)&amp;"Customer: "&amp;D10&amp;"  "&amp;E10&amp;CHAR(10)&amp;"Phone: "&amp;F10&amp;CHAR(10)&amp;"Email: "&amp;G10&amp;CHAR(10)&amp;"Prefers: "&amp;H10&amp;CHAR(10)&amp;"Enquiry: "&amp;LEFT(I10,600)&amp;CHAR(10)&amp;CHAR(10)&amp;"Sent from the Preston Mazda enquiry log.","%","%25"),"&amp;","%26")," ","%20"),"#","%23"),CHAR(10),"%0A"),"✉ Email "&amp;P10))</f>
        <v/>
      </c>
    </row>
    <row r="11" customFormat="false" ht="15" hidden="false" customHeight="false" outlineLevel="0" collapsed="false">
      <c r="A11" s="10" t="str">
        <f aca="false">IF(D11="","","E-"&amp;TEXT(ROW()-3,"0000"))</f>
        <v/>
      </c>
      <c r="B11" s="11"/>
      <c r="C11" s="12"/>
      <c r="D11" s="13"/>
      <c r="E11" s="14"/>
      <c r="F11" s="12"/>
      <c r="G11" s="12"/>
      <c r="H11" s="15"/>
      <c r="I11" s="16"/>
      <c r="J11" s="17" t="str">
        <f aca="false">IF(D11="","",HYPERLINK(Settings!$B$7&amp;A11&amp;".pdf","Open "&amp;A11&amp;".pdf"))</f>
        <v/>
      </c>
      <c r="K11" s="16"/>
      <c r="L11" s="12"/>
      <c r="M11" s="12"/>
      <c r="N11" s="15"/>
      <c r="O11" s="15"/>
      <c r="P11" s="12"/>
      <c r="Q11" s="15"/>
      <c r="R11" s="15"/>
      <c r="S11" s="15" t="str">
        <f aca="false">IF(D11="","",IF(AND(O11="Yes",OR(Q11&lt;&gt;"Yes",R11="Yes")),"Complete","Open"))</f>
        <v/>
      </c>
      <c r="T11" s="18" t="str">
        <f aca="false">IF(AND(Q11="Yes",R11&lt;&gt;"Yes"),HYPERLINK("mailto:"&amp;Settings!$B$5&amp;"?subject="&amp;SUBSTITUTE(SUBSTITUTE(SUBSTITUTE(SUBSTITUTE(SUBSTITUTE("Parts quote required - "&amp;D11&amp;" "&amp;E11,"%","%25"),"&amp;","%26")," ","%20"),"#","%23"),CHAR(10),"%0A")&amp;"&amp;body="&amp;SUBSTITUTE(SUBSTITUTE(SUBSTITUTE(SUBSTITUTE(SUBSTITUTE("Ref: "&amp;A11&amp;CHAR(10)&amp;"Customer: "&amp;D11&amp;"  "&amp;E11&amp;CHAR(10)&amp;"Phone: "&amp;F11&amp;CHAR(10)&amp;"Email: "&amp;G11&amp;CHAR(10)&amp;"Prefers: "&amp;H11&amp;CHAR(10)&amp;"Enquiry: "&amp;LEFT(I11,600)&amp;CHAR(10)&amp;CHAR(10)&amp;"Sent from the Preston Mazda enquiry log.","%","%25"),"&amp;","%26")," ","%20"),"#","%23"),CHAR(10),"%0A"),"✉ Email parts"),"")</f>
        <v/>
      </c>
      <c r="U11" s="18" t="str">
        <f aca="false">IF(AND(N11="Yes",O11&lt;&gt;"Yes"),HYPERLINK("mailto:"&amp;Settings!$B$6&amp;"?subject="&amp;SUBSTITUTE(SUBSTITUTE(SUBSTITUTE(SUBSTITUTE(SUBSTITUTE("Customer contact required - "&amp;D11&amp;" "&amp;E11,"%","%25"),"&amp;","%26")," ","%20"),"#","%23"),CHAR(10),"%0A")&amp;"&amp;body="&amp;SUBSTITUTE(SUBSTITUTE(SUBSTITUTE(SUBSTITUTE(SUBSTITUTE("Ref: "&amp;A11&amp;CHAR(10)&amp;"Customer: "&amp;D11&amp;"  "&amp;E11&amp;CHAR(10)&amp;"Phone: "&amp;F11&amp;CHAR(10)&amp;"Email: "&amp;G11&amp;CHAR(10)&amp;"Prefers: "&amp;H11&amp;CHAR(10)&amp;"Enquiry: "&amp;LEFT(I11,600)&amp;CHAR(10)&amp;CHAR(10)&amp;"Sent from the Preston Mazda enquiry log.","%","%25"),"&amp;","%26")," ","%20"),"#","%23"),CHAR(10),"%0A"),"✉ Email advisors"),"")</f>
        <v/>
      </c>
      <c r="V11" s="18" t="str">
        <f aca="false">IF(OR(M11="",IFERROR(INDEX(Staff!$B$4:$B$33,MATCH(M11,Staff!$A$4:$A$33,0)),"")=""),"",HYPERLINK("mailto:"&amp;IFERROR(INDEX(Staff!$B$4:$B$33,MATCH(M11,Staff!$A$4:$A$33,0)),"")&amp;"?subject="&amp;SUBSTITUTE(SUBSTITUTE(SUBSTITUTE(SUBSTITUTE(SUBSTITUTE("Enquiry "&amp;A11&amp;" allocated to you - "&amp;D11,"%","%25"),"&amp;","%26")," ","%20"),"#","%23"),CHAR(10),"%0A")&amp;"&amp;body="&amp;SUBSTITUTE(SUBSTITUTE(SUBSTITUTE(SUBSTITUTE(SUBSTITUTE("Ref: "&amp;A11&amp;CHAR(10)&amp;"Customer: "&amp;D11&amp;"  "&amp;E11&amp;CHAR(10)&amp;"Phone: "&amp;F11&amp;CHAR(10)&amp;"Email: "&amp;G11&amp;CHAR(10)&amp;"Prefers: "&amp;H11&amp;CHAR(10)&amp;"Enquiry: "&amp;LEFT(I11,600)&amp;CHAR(10)&amp;CHAR(10)&amp;"Sent from the Preston Mazda enquiry log.","%","%25"),"&amp;","%26")," ","%20"),"#","%23"),CHAR(10),"%0A"),"✉ Email "&amp;M11))</f>
        <v/>
      </c>
      <c r="W11" s="18" t="str">
        <f aca="false">IF(OR(P11="",IFERROR(INDEX(Staff!$E$4:$E$33,MATCH(P11,Staff!$D$4:$D$33,0)),"")=""),"",HYPERLINK("mailto:"&amp;IFERROR(INDEX(Staff!$E$4:$E$33,MATCH(P11,Staff!$D$4:$D$33,0)),"")&amp;"?subject="&amp;SUBSTITUTE(SUBSTITUTE(SUBSTITUTE(SUBSTITUTE(SUBSTITUTE("Parts quote "&amp;A11&amp;" allocated to you - "&amp;D11,"%","%25"),"&amp;","%26")," ","%20"),"#","%23"),CHAR(10),"%0A")&amp;"&amp;body="&amp;SUBSTITUTE(SUBSTITUTE(SUBSTITUTE(SUBSTITUTE(SUBSTITUTE("Ref: "&amp;A11&amp;CHAR(10)&amp;"Customer: "&amp;D11&amp;"  "&amp;E11&amp;CHAR(10)&amp;"Phone: "&amp;F11&amp;CHAR(10)&amp;"Email: "&amp;G11&amp;CHAR(10)&amp;"Prefers: "&amp;H11&amp;CHAR(10)&amp;"Enquiry: "&amp;LEFT(I11,600)&amp;CHAR(10)&amp;CHAR(10)&amp;"Sent from the Preston Mazda enquiry log.","%","%25"),"&amp;","%26")," ","%20"),"#","%23"),CHAR(10),"%0A"),"✉ Email "&amp;P11))</f>
        <v/>
      </c>
    </row>
    <row r="12" customFormat="false" ht="15" hidden="false" customHeight="false" outlineLevel="0" collapsed="false">
      <c r="A12" s="10" t="str">
        <f aca="false">IF(D12="","","E-"&amp;TEXT(ROW()-3,"0000"))</f>
        <v/>
      </c>
      <c r="B12" s="11"/>
      <c r="C12" s="12"/>
      <c r="D12" s="13"/>
      <c r="E12" s="14"/>
      <c r="F12" s="12"/>
      <c r="G12" s="12"/>
      <c r="H12" s="15"/>
      <c r="I12" s="16"/>
      <c r="J12" s="17" t="str">
        <f aca="false">IF(D12="","",HYPERLINK(Settings!$B$7&amp;A12&amp;".pdf","Open "&amp;A12&amp;".pdf"))</f>
        <v/>
      </c>
      <c r="K12" s="16"/>
      <c r="L12" s="12"/>
      <c r="M12" s="12"/>
      <c r="N12" s="15"/>
      <c r="O12" s="15"/>
      <c r="P12" s="12"/>
      <c r="Q12" s="15"/>
      <c r="R12" s="15"/>
      <c r="S12" s="15" t="str">
        <f aca="false">IF(D12="","",IF(AND(O12="Yes",OR(Q12&lt;&gt;"Yes",R12="Yes")),"Complete","Open"))</f>
        <v/>
      </c>
      <c r="T12" s="18" t="str">
        <f aca="false">IF(AND(Q12="Yes",R12&lt;&gt;"Yes"),HYPERLINK("mailto:"&amp;Settings!$B$5&amp;"?subject="&amp;SUBSTITUTE(SUBSTITUTE(SUBSTITUTE(SUBSTITUTE(SUBSTITUTE("Parts quote required - "&amp;D12&amp;" "&amp;E12,"%","%25"),"&amp;","%26")," ","%20"),"#","%23"),CHAR(10),"%0A")&amp;"&amp;body="&amp;SUBSTITUTE(SUBSTITUTE(SUBSTITUTE(SUBSTITUTE(SUBSTITUTE("Ref: "&amp;A12&amp;CHAR(10)&amp;"Customer: "&amp;D12&amp;"  "&amp;E12&amp;CHAR(10)&amp;"Phone: "&amp;F12&amp;CHAR(10)&amp;"Email: "&amp;G12&amp;CHAR(10)&amp;"Prefers: "&amp;H12&amp;CHAR(10)&amp;"Enquiry: "&amp;LEFT(I12,600)&amp;CHAR(10)&amp;CHAR(10)&amp;"Sent from the Preston Mazda enquiry log.","%","%25"),"&amp;","%26")," ","%20"),"#","%23"),CHAR(10),"%0A"),"✉ Email parts"),"")</f>
        <v/>
      </c>
      <c r="U12" s="18" t="str">
        <f aca="false">IF(AND(N12="Yes",O12&lt;&gt;"Yes"),HYPERLINK("mailto:"&amp;Settings!$B$6&amp;"?subject="&amp;SUBSTITUTE(SUBSTITUTE(SUBSTITUTE(SUBSTITUTE(SUBSTITUTE("Customer contact required - "&amp;D12&amp;" "&amp;E12,"%","%25"),"&amp;","%26")," ","%20"),"#","%23"),CHAR(10),"%0A")&amp;"&amp;body="&amp;SUBSTITUTE(SUBSTITUTE(SUBSTITUTE(SUBSTITUTE(SUBSTITUTE("Ref: "&amp;A12&amp;CHAR(10)&amp;"Customer: "&amp;D12&amp;"  "&amp;E12&amp;CHAR(10)&amp;"Phone: "&amp;F12&amp;CHAR(10)&amp;"Email: "&amp;G12&amp;CHAR(10)&amp;"Prefers: "&amp;H12&amp;CHAR(10)&amp;"Enquiry: "&amp;LEFT(I12,600)&amp;CHAR(10)&amp;CHAR(10)&amp;"Sent from the Preston Mazda enquiry log.","%","%25"),"&amp;","%26")," ","%20"),"#","%23"),CHAR(10),"%0A"),"✉ Email advisors"),"")</f>
        <v/>
      </c>
      <c r="V12" s="18" t="str">
        <f aca="false">IF(OR(M12="",IFERROR(INDEX(Staff!$B$4:$B$33,MATCH(M12,Staff!$A$4:$A$33,0)),"")=""),"",HYPERLINK("mailto:"&amp;IFERROR(INDEX(Staff!$B$4:$B$33,MATCH(M12,Staff!$A$4:$A$33,0)),"")&amp;"?subject="&amp;SUBSTITUTE(SUBSTITUTE(SUBSTITUTE(SUBSTITUTE(SUBSTITUTE("Enquiry "&amp;A12&amp;" allocated to you - "&amp;D12,"%","%25"),"&amp;","%26")," ","%20"),"#","%23"),CHAR(10),"%0A")&amp;"&amp;body="&amp;SUBSTITUTE(SUBSTITUTE(SUBSTITUTE(SUBSTITUTE(SUBSTITUTE("Ref: "&amp;A12&amp;CHAR(10)&amp;"Customer: "&amp;D12&amp;"  "&amp;E12&amp;CHAR(10)&amp;"Phone: "&amp;F12&amp;CHAR(10)&amp;"Email: "&amp;G12&amp;CHAR(10)&amp;"Prefers: "&amp;H12&amp;CHAR(10)&amp;"Enquiry: "&amp;LEFT(I12,600)&amp;CHAR(10)&amp;CHAR(10)&amp;"Sent from the Preston Mazda enquiry log.","%","%25"),"&amp;","%26")," ","%20"),"#","%23"),CHAR(10),"%0A"),"✉ Email "&amp;M12))</f>
        <v/>
      </c>
      <c r="W12" s="18" t="str">
        <f aca="false">IF(OR(P12="",IFERROR(INDEX(Staff!$E$4:$E$33,MATCH(P12,Staff!$D$4:$D$33,0)),"")=""),"",HYPERLINK("mailto:"&amp;IFERROR(INDEX(Staff!$E$4:$E$33,MATCH(P12,Staff!$D$4:$D$33,0)),"")&amp;"?subject="&amp;SUBSTITUTE(SUBSTITUTE(SUBSTITUTE(SUBSTITUTE(SUBSTITUTE("Parts quote "&amp;A12&amp;" allocated to you - "&amp;D12,"%","%25"),"&amp;","%26")," ","%20"),"#","%23"),CHAR(10),"%0A")&amp;"&amp;body="&amp;SUBSTITUTE(SUBSTITUTE(SUBSTITUTE(SUBSTITUTE(SUBSTITUTE("Ref: "&amp;A12&amp;CHAR(10)&amp;"Customer: "&amp;D12&amp;"  "&amp;E12&amp;CHAR(10)&amp;"Phone: "&amp;F12&amp;CHAR(10)&amp;"Email: "&amp;G12&amp;CHAR(10)&amp;"Prefers: "&amp;H12&amp;CHAR(10)&amp;"Enquiry: "&amp;LEFT(I12,600)&amp;CHAR(10)&amp;CHAR(10)&amp;"Sent from the Preston Mazda enquiry log.","%","%25"),"&amp;","%26")," ","%20"),"#","%23"),CHAR(10),"%0A"),"✉ Email "&amp;P12))</f>
        <v/>
      </c>
    </row>
    <row r="13" customFormat="false" ht="15" hidden="false" customHeight="false" outlineLevel="0" collapsed="false">
      <c r="A13" s="10" t="str">
        <f aca="false">IF(D13="","","E-"&amp;TEXT(ROW()-3,"0000"))</f>
        <v/>
      </c>
      <c r="B13" s="11"/>
      <c r="C13" s="12"/>
      <c r="D13" s="13"/>
      <c r="E13" s="14"/>
      <c r="F13" s="12"/>
      <c r="G13" s="12"/>
      <c r="H13" s="15"/>
      <c r="I13" s="16"/>
      <c r="J13" s="17" t="str">
        <f aca="false">IF(D13="","",HYPERLINK(Settings!$B$7&amp;A13&amp;".pdf","Open "&amp;A13&amp;".pdf"))</f>
        <v/>
      </c>
      <c r="K13" s="16"/>
      <c r="L13" s="12"/>
      <c r="M13" s="12"/>
      <c r="N13" s="15"/>
      <c r="O13" s="15"/>
      <c r="P13" s="12"/>
      <c r="Q13" s="15"/>
      <c r="R13" s="15"/>
      <c r="S13" s="15" t="str">
        <f aca="false">IF(D13="","",IF(AND(O13="Yes",OR(Q13&lt;&gt;"Yes",R13="Yes")),"Complete","Open"))</f>
        <v/>
      </c>
      <c r="T13" s="18" t="str">
        <f aca="false">IF(AND(Q13="Yes",R13&lt;&gt;"Yes"),HYPERLINK("mailto:"&amp;Settings!$B$5&amp;"?subject="&amp;SUBSTITUTE(SUBSTITUTE(SUBSTITUTE(SUBSTITUTE(SUBSTITUTE("Parts quote required - "&amp;D13&amp;" "&amp;E13,"%","%25"),"&amp;","%26")," ","%20"),"#","%23"),CHAR(10),"%0A")&amp;"&amp;body="&amp;SUBSTITUTE(SUBSTITUTE(SUBSTITUTE(SUBSTITUTE(SUBSTITUTE("Ref: "&amp;A13&amp;CHAR(10)&amp;"Customer: "&amp;D13&amp;"  "&amp;E13&amp;CHAR(10)&amp;"Phone: "&amp;F13&amp;CHAR(10)&amp;"Email: "&amp;G13&amp;CHAR(10)&amp;"Prefers: "&amp;H13&amp;CHAR(10)&amp;"Enquiry: "&amp;LEFT(I13,600)&amp;CHAR(10)&amp;CHAR(10)&amp;"Sent from the Preston Mazda enquiry log.","%","%25"),"&amp;","%26")," ","%20"),"#","%23"),CHAR(10),"%0A"),"✉ Email parts"),"")</f>
        <v/>
      </c>
      <c r="U13" s="18" t="str">
        <f aca="false">IF(AND(N13="Yes",O13&lt;&gt;"Yes"),HYPERLINK("mailto:"&amp;Settings!$B$6&amp;"?subject="&amp;SUBSTITUTE(SUBSTITUTE(SUBSTITUTE(SUBSTITUTE(SUBSTITUTE("Customer contact required - "&amp;D13&amp;" "&amp;E13,"%","%25"),"&amp;","%26")," ","%20"),"#","%23"),CHAR(10),"%0A")&amp;"&amp;body="&amp;SUBSTITUTE(SUBSTITUTE(SUBSTITUTE(SUBSTITUTE(SUBSTITUTE("Ref: "&amp;A13&amp;CHAR(10)&amp;"Customer: "&amp;D13&amp;"  "&amp;E13&amp;CHAR(10)&amp;"Phone: "&amp;F13&amp;CHAR(10)&amp;"Email: "&amp;G13&amp;CHAR(10)&amp;"Prefers: "&amp;H13&amp;CHAR(10)&amp;"Enquiry: "&amp;LEFT(I13,600)&amp;CHAR(10)&amp;CHAR(10)&amp;"Sent from the Preston Mazda enquiry log.","%","%25"),"&amp;","%26")," ","%20"),"#","%23"),CHAR(10),"%0A"),"✉ Email advisors"),"")</f>
        <v/>
      </c>
      <c r="V13" s="18" t="str">
        <f aca="false">IF(OR(M13="",IFERROR(INDEX(Staff!$B$4:$B$33,MATCH(M13,Staff!$A$4:$A$33,0)),"")=""),"",HYPERLINK("mailto:"&amp;IFERROR(INDEX(Staff!$B$4:$B$33,MATCH(M13,Staff!$A$4:$A$33,0)),"")&amp;"?subject="&amp;SUBSTITUTE(SUBSTITUTE(SUBSTITUTE(SUBSTITUTE(SUBSTITUTE("Enquiry "&amp;A13&amp;" allocated to you - "&amp;D13,"%","%25"),"&amp;","%26")," ","%20"),"#","%23"),CHAR(10),"%0A")&amp;"&amp;body="&amp;SUBSTITUTE(SUBSTITUTE(SUBSTITUTE(SUBSTITUTE(SUBSTITUTE("Ref: "&amp;A13&amp;CHAR(10)&amp;"Customer: "&amp;D13&amp;"  "&amp;E13&amp;CHAR(10)&amp;"Phone: "&amp;F13&amp;CHAR(10)&amp;"Email: "&amp;G13&amp;CHAR(10)&amp;"Prefers: "&amp;H13&amp;CHAR(10)&amp;"Enquiry: "&amp;LEFT(I13,600)&amp;CHAR(10)&amp;CHAR(10)&amp;"Sent from the Preston Mazda enquiry log.","%","%25"),"&amp;","%26")," ","%20"),"#","%23"),CHAR(10),"%0A"),"✉ Email "&amp;M13))</f>
        <v/>
      </c>
      <c r="W13" s="18" t="str">
        <f aca="false">IF(OR(P13="",IFERROR(INDEX(Staff!$E$4:$E$33,MATCH(P13,Staff!$D$4:$D$33,0)),"")=""),"",HYPERLINK("mailto:"&amp;IFERROR(INDEX(Staff!$E$4:$E$33,MATCH(P13,Staff!$D$4:$D$33,0)),"")&amp;"?subject="&amp;SUBSTITUTE(SUBSTITUTE(SUBSTITUTE(SUBSTITUTE(SUBSTITUTE("Parts quote "&amp;A13&amp;" allocated to you - "&amp;D13,"%","%25"),"&amp;","%26")," ","%20"),"#","%23"),CHAR(10),"%0A")&amp;"&amp;body="&amp;SUBSTITUTE(SUBSTITUTE(SUBSTITUTE(SUBSTITUTE(SUBSTITUTE("Ref: "&amp;A13&amp;CHAR(10)&amp;"Customer: "&amp;D13&amp;"  "&amp;E13&amp;CHAR(10)&amp;"Phone: "&amp;F13&amp;CHAR(10)&amp;"Email: "&amp;G13&amp;CHAR(10)&amp;"Prefers: "&amp;H13&amp;CHAR(10)&amp;"Enquiry: "&amp;LEFT(I13,600)&amp;CHAR(10)&amp;CHAR(10)&amp;"Sent from the Preston Mazda enquiry log.","%","%25"),"&amp;","%26")," ","%20"),"#","%23"),CHAR(10),"%0A"),"✉ Email "&amp;P13))</f>
        <v/>
      </c>
    </row>
    <row r="14" customFormat="false" ht="15" hidden="false" customHeight="false" outlineLevel="0" collapsed="false">
      <c r="A14" s="10" t="str">
        <f aca="false">IF(D14="","","E-"&amp;TEXT(ROW()-3,"0000"))</f>
        <v/>
      </c>
      <c r="B14" s="11"/>
      <c r="C14" s="12"/>
      <c r="D14" s="13"/>
      <c r="E14" s="14"/>
      <c r="F14" s="12"/>
      <c r="G14" s="12"/>
      <c r="H14" s="15"/>
      <c r="I14" s="16"/>
      <c r="J14" s="17" t="str">
        <f aca="false">IF(D14="","",HYPERLINK(Settings!$B$7&amp;A14&amp;".pdf","Open "&amp;A14&amp;".pdf"))</f>
        <v/>
      </c>
      <c r="K14" s="16"/>
      <c r="L14" s="12"/>
      <c r="M14" s="12"/>
      <c r="N14" s="15"/>
      <c r="O14" s="15"/>
      <c r="P14" s="12"/>
      <c r="Q14" s="15"/>
      <c r="R14" s="15"/>
      <c r="S14" s="15" t="str">
        <f aca="false">IF(D14="","",IF(AND(O14="Yes",OR(Q14&lt;&gt;"Yes",R14="Yes")),"Complete","Open"))</f>
        <v/>
      </c>
      <c r="T14" s="18" t="str">
        <f aca="false">IF(AND(Q14="Yes",R14&lt;&gt;"Yes"),HYPERLINK("mailto:"&amp;Settings!$B$5&amp;"?subject="&amp;SUBSTITUTE(SUBSTITUTE(SUBSTITUTE(SUBSTITUTE(SUBSTITUTE("Parts quote required - "&amp;D14&amp;" "&amp;E14,"%","%25"),"&amp;","%26")," ","%20"),"#","%23"),CHAR(10),"%0A")&amp;"&amp;body="&amp;SUBSTITUTE(SUBSTITUTE(SUBSTITUTE(SUBSTITUTE(SUBSTITUTE("Ref: "&amp;A14&amp;CHAR(10)&amp;"Customer: "&amp;D14&amp;"  "&amp;E14&amp;CHAR(10)&amp;"Phone: "&amp;F14&amp;CHAR(10)&amp;"Email: "&amp;G14&amp;CHAR(10)&amp;"Prefers: "&amp;H14&amp;CHAR(10)&amp;"Enquiry: "&amp;LEFT(I14,600)&amp;CHAR(10)&amp;CHAR(10)&amp;"Sent from the Preston Mazda enquiry log.","%","%25"),"&amp;","%26")," ","%20"),"#","%23"),CHAR(10),"%0A"),"✉ Email parts"),"")</f>
        <v/>
      </c>
      <c r="U14" s="18" t="str">
        <f aca="false">IF(AND(N14="Yes",O14&lt;&gt;"Yes"),HYPERLINK("mailto:"&amp;Settings!$B$6&amp;"?subject="&amp;SUBSTITUTE(SUBSTITUTE(SUBSTITUTE(SUBSTITUTE(SUBSTITUTE("Customer contact required - "&amp;D14&amp;" "&amp;E14,"%","%25"),"&amp;","%26")," ","%20"),"#","%23"),CHAR(10),"%0A")&amp;"&amp;body="&amp;SUBSTITUTE(SUBSTITUTE(SUBSTITUTE(SUBSTITUTE(SUBSTITUTE("Ref: "&amp;A14&amp;CHAR(10)&amp;"Customer: "&amp;D14&amp;"  "&amp;E14&amp;CHAR(10)&amp;"Phone: "&amp;F14&amp;CHAR(10)&amp;"Email: "&amp;G14&amp;CHAR(10)&amp;"Prefers: "&amp;H14&amp;CHAR(10)&amp;"Enquiry: "&amp;LEFT(I14,600)&amp;CHAR(10)&amp;CHAR(10)&amp;"Sent from the Preston Mazda enquiry log.","%","%25"),"&amp;","%26")," ","%20"),"#","%23"),CHAR(10),"%0A"),"✉ Email advisors"),"")</f>
        <v/>
      </c>
      <c r="V14" s="18" t="str">
        <f aca="false">IF(OR(M14="",IFERROR(INDEX(Staff!$B$4:$B$33,MATCH(M14,Staff!$A$4:$A$33,0)),"")=""),"",HYPERLINK("mailto:"&amp;IFERROR(INDEX(Staff!$B$4:$B$33,MATCH(M14,Staff!$A$4:$A$33,0)),"")&amp;"?subject="&amp;SUBSTITUTE(SUBSTITUTE(SUBSTITUTE(SUBSTITUTE(SUBSTITUTE("Enquiry "&amp;A14&amp;" allocated to you - "&amp;D14,"%","%25"),"&amp;","%26")," ","%20"),"#","%23"),CHAR(10),"%0A")&amp;"&amp;body="&amp;SUBSTITUTE(SUBSTITUTE(SUBSTITUTE(SUBSTITUTE(SUBSTITUTE("Ref: "&amp;A14&amp;CHAR(10)&amp;"Customer: "&amp;D14&amp;"  "&amp;E14&amp;CHAR(10)&amp;"Phone: "&amp;F14&amp;CHAR(10)&amp;"Email: "&amp;G14&amp;CHAR(10)&amp;"Prefers: "&amp;H14&amp;CHAR(10)&amp;"Enquiry: "&amp;LEFT(I14,600)&amp;CHAR(10)&amp;CHAR(10)&amp;"Sent from the Preston Mazda enquiry log.","%","%25"),"&amp;","%26")," ","%20"),"#","%23"),CHAR(10),"%0A"),"✉ Email "&amp;M14))</f>
        <v/>
      </c>
      <c r="W14" s="18" t="str">
        <f aca="false">IF(OR(P14="",IFERROR(INDEX(Staff!$E$4:$E$33,MATCH(P14,Staff!$D$4:$D$33,0)),"")=""),"",HYPERLINK("mailto:"&amp;IFERROR(INDEX(Staff!$E$4:$E$33,MATCH(P14,Staff!$D$4:$D$33,0)),"")&amp;"?subject="&amp;SUBSTITUTE(SUBSTITUTE(SUBSTITUTE(SUBSTITUTE(SUBSTITUTE("Parts quote "&amp;A14&amp;" allocated to you - "&amp;D14,"%","%25"),"&amp;","%26")," ","%20"),"#","%23"),CHAR(10),"%0A")&amp;"&amp;body="&amp;SUBSTITUTE(SUBSTITUTE(SUBSTITUTE(SUBSTITUTE(SUBSTITUTE("Ref: "&amp;A14&amp;CHAR(10)&amp;"Customer: "&amp;D14&amp;"  "&amp;E14&amp;CHAR(10)&amp;"Phone: "&amp;F14&amp;CHAR(10)&amp;"Email: "&amp;G14&amp;CHAR(10)&amp;"Prefers: "&amp;H14&amp;CHAR(10)&amp;"Enquiry: "&amp;LEFT(I14,600)&amp;CHAR(10)&amp;CHAR(10)&amp;"Sent from the Preston Mazda enquiry log.","%","%25"),"&amp;","%26")," ","%20"),"#","%23"),CHAR(10),"%0A"),"✉ Email "&amp;P14))</f>
        <v/>
      </c>
    </row>
    <row r="15" customFormat="false" ht="15" hidden="false" customHeight="false" outlineLevel="0" collapsed="false">
      <c r="A15" s="10" t="str">
        <f aca="false">IF(D15="","","E-"&amp;TEXT(ROW()-3,"0000"))</f>
        <v/>
      </c>
      <c r="B15" s="11"/>
      <c r="C15" s="12"/>
      <c r="D15" s="13"/>
      <c r="E15" s="14"/>
      <c r="F15" s="12"/>
      <c r="G15" s="12"/>
      <c r="H15" s="15"/>
      <c r="I15" s="16"/>
      <c r="J15" s="17" t="str">
        <f aca="false">IF(D15="","",HYPERLINK(Settings!$B$7&amp;A15&amp;".pdf","Open "&amp;A15&amp;".pdf"))</f>
        <v/>
      </c>
      <c r="K15" s="16"/>
      <c r="L15" s="12"/>
      <c r="M15" s="12"/>
      <c r="N15" s="15"/>
      <c r="O15" s="15"/>
      <c r="P15" s="12"/>
      <c r="Q15" s="15"/>
      <c r="R15" s="15"/>
      <c r="S15" s="15" t="str">
        <f aca="false">IF(D15="","",IF(AND(O15="Yes",OR(Q15&lt;&gt;"Yes",R15="Yes")),"Complete","Open"))</f>
        <v/>
      </c>
      <c r="T15" s="18" t="str">
        <f aca="false">IF(AND(Q15="Yes",R15&lt;&gt;"Yes"),HYPERLINK("mailto:"&amp;Settings!$B$5&amp;"?subject="&amp;SUBSTITUTE(SUBSTITUTE(SUBSTITUTE(SUBSTITUTE(SUBSTITUTE("Parts quote required - "&amp;D15&amp;" "&amp;E15,"%","%25"),"&amp;","%26")," ","%20"),"#","%23"),CHAR(10),"%0A")&amp;"&amp;body="&amp;SUBSTITUTE(SUBSTITUTE(SUBSTITUTE(SUBSTITUTE(SUBSTITUTE("Ref: "&amp;A15&amp;CHAR(10)&amp;"Customer: "&amp;D15&amp;"  "&amp;E15&amp;CHAR(10)&amp;"Phone: "&amp;F15&amp;CHAR(10)&amp;"Email: "&amp;G15&amp;CHAR(10)&amp;"Prefers: "&amp;H15&amp;CHAR(10)&amp;"Enquiry: "&amp;LEFT(I15,600)&amp;CHAR(10)&amp;CHAR(10)&amp;"Sent from the Preston Mazda enquiry log.","%","%25"),"&amp;","%26")," ","%20"),"#","%23"),CHAR(10),"%0A"),"✉ Email parts"),"")</f>
        <v/>
      </c>
      <c r="U15" s="18" t="str">
        <f aca="false">IF(AND(N15="Yes",O15&lt;&gt;"Yes"),HYPERLINK("mailto:"&amp;Settings!$B$6&amp;"?subject="&amp;SUBSTITUTE(SUBSTITUTE(SUBSTITUTE(SUBSTITUTE(SUBSTITUTE("Customer contact required - "&amp;D15&amp;" "&amp;E15,"%","%25"),"&amp;","%26")," ","%20"),"#","%23"),CHAR(10),"%0A")&amp;"&amp;body="&amp;SUBSTITUTE(SUBSTITUTE(SUBSTITUTE(SUBSTITUTE(SUBSTITUTE("Ref: "&amp;A15&amp;CHAR(10)&amp;"Customer: "&amp;D15&amp;"  "&amp;E15&amp;CHAR(10)&amp;"Phone: "&amp;F15&amp;CHAR(10)&amp;"Email: "&amp;G15&amp;CHAR(10)&amp;"Prefers: "&amp;H15&amp;CHAR(10)&amp;"Enquiry: "&amp;LEFT(I15,600)&amp;CHAR(10)&amp;CHAR(10)&amp;"Sent from the Preston Mazda enquiry log.","%","%25"),"&amp;","%26")," ","%20"),"#","%23"),CHAR(10),"%0A"),"✉ Email advisors"),"")</f>
        <v/>
      </c>
      <c r="V15" s="18" t="str">
        <f aca="false">IF(OR(M15="",IFERROR(INDEX(Staff!$B$4:$B$33,MATCH(M15,Staff!$A$4:$A$33,0)),"")=""),"",HYPERLINK("mailto:"&amp;IFERROR(INDEX(Staff!$B$4:$B$33,MATCH(M15,Staff!$A$4:$A$33,0)),"")&amp;"?subject="&amp;SUBSTITUTE(SUBSTITUTE(SUBSTITUTE(SUBSTITUTE(SUBSTITUTE("Enquiry "&amp;A15&amp;" allocated to you - "&amp;D15,"%","%25"),"&amp;","%26")," ","%20"),"#","%23"),CHAR(10),"%0A")&amp;"&amp;body="&amp;SUBSTITUTE(SUBSTITUTE(SUBSTITUTE(SUBSTITUTE(SUBSTITUTE("Ref: "&amp;A15&amp;CHAR(10)&amp;"Customer: "&amp;D15&amp;"  "&amp;E15&amp;CHAR(10)&amp;"Phone: "&amp;F15&amp;CHAR(10)&amp;"Email: "&amp;G15&amp;CHAR(10)&amp;"Prefers: "&amp;H15&amp;CHAR(10)&amp;"Enquiry: "&amp;LEFT(I15,600)&amp;CHAR(10)&amp;CHAR(10)&amp;"Sent from the Preston Mazda enquiry log.","%","%25"),"&amp;","%26")," ","%20"),"#","%23"),CHAR(10),"%0A"),"✉ Email "&amp;M15))</f>
        <v/>
      </c>
      <c r="W15" s="18" t="str">
        <f aca="false">IF(OR(P15="",IFERROR(INDEX(Staff!$E$4:$E$33,MATCH(P15,Staff!$D$4:$D$33,0)),"")=""),"",HYPERLINK("mailto:"&amp;IFERROR(INDEX(Staff!$E$4:$E$33,MATCH(P15,Staff!$D$4:$D$33,0)),"")&amp;"?subject="&amp;SUBSTITUTE(SUBSTITUTE(SUBSTITUTE(SUBSTITUTE(SUBSTITUTE("Parts quote "&amp;A15&amp;" allocated to you - "&amp;D15,"%","%25"),"&amp;","%26")," ","%20"),"#","%23"),CHAR(10),"%0A")&amp;"&amp;body="&amp;SUBSTITUTE(SUBSTITUTE(SUBSTITUTE(SUBSTITUTE(SUBSTITUTE("Ref: "&amp;A15&amp;CHAR(10)&amp;"Customer: "&amp;D15&amp;"  "&amp;E15&amp;CHAR(10)&amp;"Phone: "&amp;F15&amp;CHAR(10)&amp;"Email: "&amp;G15&amp;CHAR(10)&amp;"Prefers: "&amp;H15&amp;CHAR(10)&amp;"Enquiry: "&amp;LEFT(I15,600)&amp;CHAR(10)&amp;CHAR(10)&amp;"Sent from the Preston Mazda enquiry log.","%","%25"),"&amp;","%26")," ","%20"),"#","%23"),CHAR(10),"%0A"),"✉ Email "&amp;P15))</f>
        <v/>
      </c>
    </row>
    <row r="16" customFormat="false" ht="15" hidden="false" customHeight="false" outlineLevel="0" collapsed="false">
      <c r="A16" s="10" t="str">
        <f aca="false">IF(D16="","","E-"&amp;TEXT(ROW()-3,"0000"))</f>
        <v/>
      </c>
      <c r="B16" s="11"/>
      <c r="C16" s="12"/>
      <c r="D16" s="13"/>
      <c r="E16" s="14"/>
      <c r="F16" s="12"/>
      <c r="G16" s="12"/>
      <c r="H16" s="15"/>
      <c r="I16" s="16"/>
      <c r="J16" s="17" t="str">
        <f aca="false">IF(D16="","",HYPERLINK(Settings!$B$7&amp;A16&amp;".pdf","Open "&amp;A16&amp;".pdf"))</f>
        <v/>
      </c>
      <c r="K16" s="16"/>
      <c r="L16" s="12"/>
      <c r="M16" s="12"/>
      <c r="N16" s="15"/>
      <c r="O16" s="15"/>
      <c r="P16" s="12"/>
      <c r="Q16" s="15"/>
      <c r="R16" s="15"/>
      <c r="S16" s="15" t="str">
        <f aca="false">IF(D16="","",IF(AND(O16="Yes",OR(Q16&lt;&gt;"Yes",R16="Yes")),"Complete","Open"))</f>
        <v/>
      </c>
      <c r="T16" s="18" t="str">
        <f aca="false">IF(AND(Q16="Yes",R16&lt;&gt;"Yes"),HYPERLINK("mailto:"&amp;Settings!$B$5&amp;"?subject="&amp;SUBSTITUTE(SUBSTITUTE(SUBSTITUTE(SUBSTITUTE(SUBSTITUTE("Parts quote required - "&amp;D16&amp;" "&amp;E16,"%","%25"),"&amp;","%26")," ","%20"),"#","%23"),CHAR(10),"%0A")&amp;"&amp;body="&amp;SUBSTITUTE(SUBSTITUTE(SUBSTITUTE(SUBSTITUTE(SUBSTITUTE("Ref: "&amp;A16&amp;CHAR(10)&amp;"Customer: "&amp;D16&amp;"  "&amp;E16&amp;CHAR(10)&amp;"Phone: "&amp;F16&amp;CHAR(10)&amp;"Email: "&amp;G16&amp;CHAR(10)&amp;"Prefers: "&amp;H16&amp;CHAR(10)&amp;"Enquiry: "&amp;LEFT(I16,600)&amp;CHAR(10)&amp;CHAR(10)&amp;"Sent from the Preston Mazda enquiry log.","%","%25"),"&amp;","%26")," ","%20"),"#","%23"),CHAR(10),"%0A"),"✉ Email parts"),"")</f>
        <v/>
      </c>
      <c r="U16" s="18" t="str">
        <f aca="false">IF(AND(N16="Yes",O16&lt;&gt;"Yes"),HYPERLINK("mailto:"&amp;Settings!$B$6&amp;"?subject="&amp;SUBSTITUTE(SUBSTITUTE(SUBSTITUTE(SUBSTITUTE(SUBSTITUTE("Customer contact required - "&amp;D16&amp;" "&amp;E16,"%","%25"),"&amp;","%26")," ","%20"),"#","%23"),CHAR(10),"%0A")&amp;"&amp;body="&amp;SUBSTITUTE(SUBSTITUTE(SUBSTITUTE(SUBSTITUTE(SUBSTITUTE("Ref: "&amp;A16&amp;CHAR(10)&amp;"Customer: "&amp;D16&amp;"  "&amp;E16&amp;CHAR(10)&amp;"Phone: "&amp;F16&amp;CHAR(10)&amp;"Email: "&amp;G16&amp;CHAR(10)&amp;"Prefers: "&amp;H16&amp;CHAR(10)&amp;"Enquiry: "&amp;LEFT(I16,600)&amp;CHAR(10)&amp;CHAR(10)&amp;"Sent from the Preston Mazda enquiry log.","%","%25"),"&amp;","%26")," ","%20"),"#","%23"),CHAR(10),"%0A"),"✉ Email advisors"),"")</f>
        <v/>
      </c>
      <c r="V16" s="18" t="str">
        <f aca="false">IF(OR(M16="",IFERROR(INDEX(Staff!$B$4:$B$33,MATCH(M16,Staff!$A$4:$A$33,0)),"")=""),"",HYPERLINK("mailto:"&amp;IFERROR(INDEX(Staff!$B$4:$B$33,MATCH(M16,Staff!$A$4:$A$33,0)),"")&amp;"?subject="&amp;SUBSTITUTE(SUBSTITUTE(SUBSTITUTE(SUBSTITUTE(SUBSTITUTE("Enquiry "&amp;A16&amp;" allocated to you - "&amp;D16,"%","%25"),"&amp;","%26")," ","%20"),"#","%23"),CHAR(10),"%0A")&amp;"&amp;body="&amp;SUBSTITUTE(SUBSTITUTE(SUBSTITUTE(SUBSTITUTE(SUBSTITUTE("Ref: "&amp;A16&amp;CHAR(10)&amp;"Customer: "&amp;D16&amp;"  "&amp;E16&amp;CHAR(10)&amp;"Phone: "&amp;F16&amp;CHAR(10)&amp;"Email: "&amp;G16&amp;CHAR(10)&amp;"Prefers: "&amp;H16&amp;CHAR(10)&amp;"Enquiry: "&amp;LEFT(I16,600)&amp;CHAR(10)&amp;CHAR(10)&amp;"Sent from the Preston Mazda enquiry log.","%","%25"),"&amp;","%26")," ","%20"),"#","%23"),CHAR(10),"%0A"),"✉ Email "&amp;M16))</f>
        <v/>
      </c>
      <c r="W16" s="18" t="str">
        <f aca="false">IF(OR(P16="",IFERROR(INDEX(Staff!$E$4:$E$33,MATCH(P16,Staff!$D$4:$D$33,0)),"")=""),"",HYPERLINK("mailto:"&amp;IFERROR(INDEX(Staff!$E$4:$E$33,MATCH(P16,Staff!$D$4:$D$33,0)),"")&amp;"?subject="&amp;SUBSTITUTE(SUBSTITUTE(SUBSTITUTE(SUBSTITUTE(SUBSTITUTE("Parts quote "&amp;A16&amp;" allocated to you - "&amp;D16,"%","%25"),"&amp;","%26")," ","%20"),"#","%23"),CHAR(10),"%0A")&amp;"&amp;body="&amp;SUBSTITUTE(SUBSTITUTE(SUBSTITUTE(SUBSTITUTE(SUBSTITUTE("Ref: "&amp;A16&amp;CHAR(10)&amp;"Customer: "&amp;D16&amp;"  "&amp;E16&amp;CHAR(10)&amp;"Phone: "&amp;F16&amp;CHAR(10)&amp;"Email: "&amp;G16&amp;CHAR(10)&amp;"Prefers: "&amp;H16&amp;CHAR(10)&amp;"Enquiry: "&amp;LEFT(I16,600)&amp;CHAR(10)&amp;CHAR(10)&amp;"Sent from the Preston Mazda enquiry log.","%","%25"),"&amp;","%26")," ","%20"),"#","%23"),CHAR(10),"%0A"),"✉ Email "&amp;P16))</f>
        <v/>
      </c>
    </row>
    <row r="17" customFormat="false" ht="15" hidden="false" customHeight="false" outlineLevel="0" collapsed="false">
      <c r="A17" s="10" t="str">
        <f aca="false">IF(D17="","","E-"&amp;TEXT(ROW()-3,"0000"))</f>
        <v/>
      </c>
      <c r="B17" s="11"/>
      <c r="C17" s="12"/>
      <c r="D17" s="13"/>
      <c r="E17" s="14"/>
      <c r="F17" s="12"/>
      <c r="G17" s="12"/>
      <c r="H17" s="15"/>
      <c r="I17" s="16"/>
      <c r="J17" s="17" t="str">
        <f aca="false">IF(D17="","",HYPERLINK(Settings!$B$7&amp;A17&amp;".pdf","Open "&amp;A17&amp;".pdf"))</f>
        <v/>
      </c>
      <c r="K17" s="16"/>
      <c r="L17" s="12"/>
      <c r="M17" s="12"/>
      <c r="N17" s="15"/>
      <c r="O17" s="15"/>
      <c r="P17" s="12"/>
      <c r="Q17" s="15"/>
      <c r="R17" s="15"/>
      <c r="S17" s="15" t="str">
        <f aca="false">IF(D17="","",IF(AND(O17="Yes",OR(Q17&lt;&gt;"Yes",R17="Yes")),"Complete","Open"))</f>
        <v/>
      </c>
      <c r="T17" s="18" t="str">
        <f aca="false">IF(AND(Q17="Yes",R17&lt;&gt;"Yes"),HYPERLINK("mailto:"&amp;Settings!$B$5&amp;"?subject="&amp;SUBSTITUTE(SUBSTITUTE(SUBSTITUTE(SUBSTITUTE(SUBSTITUTE("Parts quote required - "&amp;D17&amp;" "&amp;E17,"%","%25"),"&amp;","%26")," ","%20"),"#","%23"),CHAR(10),"%0A")&amp;"&amp;body="&amp;SUBSTITUTE(SUBSTITUTE(SUBSTITUTE(SUBSTITUTE(SUBSTITUTE("Ref: "&amp;A17&amp;CHAR(10)&amp;"Customer: "&amp;D17&amp;"  "&amp;E17&amp;CHAR(10)&amp;"Phone: "&amp;F17&amp;CHAR(10)&amp;"Email: "&amp;G17&amp;CHAR(10)&amp;"Prefers: "&amp;H17&amp;CHAR(10)&amp;"Enquiry: "&amp;LEFT(I17,600)&amp;CHAR(10)&amp;CHAR(10)&amp;"Sent from the Preston Mazda enquiry log.","%","%25"),"&amp;","%26")," ","%20"),"#","%23"),CHAR(10),"%0A"),"✉ Email parts"),"")</f>
        <v/>
      </c>
      <c r="U17" s="18" t="str">
        <f aca="false">IF(AND(N17="Yes",O17&lt;&gt;"Yes"),HYPERLINK("mailto:"&amp;Settings!$B$6&amp;"?subject="&amp;SUBSTITUTE(SUBSTITUTE(SUBSTITUTE(SUBSTITUTE(SUBSTITUTE("Customer contact required - "&amp;D17&amp;" "&amp;E17,"%","%25"),"&amp;","%26")," ","%20"),"#","%23"),CHAR(10),"%0A")&amp;"&amp;body="&amp;SUBSTITUTE(SUBSTITUTE(SUBSTITUTE(SUBSTITUTE(SUBSTITUTE("Ref: "&amp;A17&amp;CHAR(10)&amp;"Customer: "&amp;D17&amp;"  "&amp;E17&amp;CHAR(10)&amp;"Phone: "&amp;F17&amp;CHAR(10)&amp;"Email: "&amp;G17&amp;CHAR(10)&amp;"Prefers: "&amp;H17&amp;CHAR(10)&amp;"Enquiry: "&amp;LEFT(I17,600)&amp;CHAR(10)&amp;CHAR(10)&amp;"Sent from the Preston Mazda enquiry log.","%","%25"),"&amp;","%26")," ","%20"),"#","%23"),CHAR(10),"%0A"),"✉ Email advisors"),"")</f>
        <v/>
      </c>
      <c r="V17" s="18" t="str">
        <f aca="false">IF(OR(M17="",IFERROR(INDEX(Staff!$B$4:$B$33,MATCH(M17,Staff!$A$4:$A$33,0)),"")=""),"",HYPERLINK("mailto:"&amp;IFERROR(INDEX(Staff!$B$4:$B$33,MATCH(M17,Staff!$A$4:$A$33,0)),"")&amp;"?subject="&amp;SUBSTITUTE(SUBSTITUTE(SUBSTITUTE(SUBSTITUTE(SUBSTITUTE("Enquiry "&amp;A17&amp;" allocated to you - "&amp;D17,"%","%25"),"&amp;","%26")," ","%20"),"#","%23"),CHAR(10),"%0A")&amp;"&amp;body="&amp;SUBSTITUTE(SUBSTITUTE(SUBSTITUTE(SUBSTITUTE(SUBSTITUTE("Ref: "&amp;A17&amp;CHAR(10)&amp;"Customer: "&amp;D17&amp;"  "&amp;E17&amp;CHAR(10)&amp;"Phone: "&amp;F17&amp;CHAR(10)&amp;"Email: "&amp;G17&amp;CHAR(10)&amp;"Prefers: "&amp;H17&amp;CHAR(10)&amp;"Enquiry: "&amp;LEFT(I17,600)&amp;CHAR(10)&amp;CHAR(10)&amp;"Sent from the Preston Mazda enquiry log.","%","%25"),"&amp;","%26")," ","%20"),"#","%23"),CHAR(10),"%0A"),"✉ Email "&amp;M17))</f>
        <v/>
      </c>
      <c r="W17" s="18" t="str">
        <f aca="false">IF(OR(P17="",IFERROR(INDEX(Staff!$E$4:$E$33,MATCH(P17,Staff!$D$4:$D$33,0)),"")=""),"",HYPERLINK("mailto:"&amp;IFERROR(INDEX(Staff!$E$4:$E$33,MATCH(P17,Staff!$D$4:$D$33,0)),"")&amp;"?subject="&amp;SUBSTITUTE(SUBSTITUTE(SUBSTITUTE(SUBSTITUTE(SUBSTITUTE("Parts quote "&amp;A17&amp;" allocated to you - "&amp;D17,"%","%25"),"&amp;","%26")," ","%20"),"#","%23"),CHAR(10),"%0A")&amp;"&amp;body="&amp;SUBSTITUTE(SUBSTITUTE(SUBSTITUTE(SUBSTITUTE(SUBSTITUTE("Ref: "&amp;A17&amp;CHAR(10)&amp;"Customer: "&amp;D17&amp;"  "&amp;E17&amp;CHAR(10)&amp;"Phone: "&amp;F17&amp;CHAR(10)&amp;"Email: "&amp;G17&amp;CHAR(10)&amp;"Prefers: "&amp;H17&amp;CHAR(10)&amp;"Enquiry: "&amp;LEFT(I17,600)&amp;CHAR(10)&amp;CHAR(10)&amp;"Sent from the Preston Mazda enquiry log.","%","%25"),"&amp;","%26")," ","%20"),"#","%23"),CHAR(10),"%0A"),"✉ Email "&amp;P17))</f>
        <v/>
      </c>
    </row>
    <row r="18" customFormat="false" ht="15" hidden="false" customHeight="false" outlineLevel="0" collapsed="false">
      <c r="A18" s="10" t="str">
        <f aca="false">IF(D18="","","E-"&amp;TEXT(ROW()-3,"0000"))</f>
        <v/>
      </c>
      <c r="B18" s="11"/>
      <c r="C18" s="12"/>
      <c r="D18" s="13"/>
      <c r="E18" s="14"/>
      <c r="F18" s="12"/>
      <c r="G18" s="12"/>
      <c r="H18" s="15"/>
      <c r="I18" s="16"/>
      <c r="J18" s="17" t="str">
        <f aca="false">IF(D18="","",HYPERLINK(Settings!$B$7&amp;A18&amp;".pdf","Open "&amp;A18&amp;".pdf"))</f>
        <v/>
      </c>
      <c r="K18" s="16"/>
      <c r="L18" s="12"/>
      <c r="M18" s="12"/>
      <c r="N18" s="15"/>
      <c r="O18" s="15"/>
      <c r="P18" s="12"/>
      <c r="Q18" s="15"/>
      <c r="R18" s="15"/>
      <c r="S18" s="15" t="str">
        <f aca="false">IF(D18="","",IF(AND(O18="Yes",OR(Q18&lt;&gt;"Yes",R18="Yes")),"Complete","Open"))</f>
        <v/>
      </c>
      <c r="T18" s="18" t="str">
        <f aca="false">IF(AND(Q18="Yes",R18&lt;&gt;"Yes"),HYPERLINK("mailto:"&amp;Settings!$B$5&amp;"?subject="&amp;SUBSTITUTE(SUBSTITUTE(SUBSTITUTE(SUBSTITUTE(SUBSTITUTE("Parts quote required - "&amp;D18&amp;" "&amp;E18,"%","%25"),"&amp;","%26")," ","%20"),"#","%23"),CHAR(10),"%0A")&amp;"&amp;body="&amp;SUBSTITUTE(SUBSTITUTE(SUBSTITUTE(SUBSTITUTE(SUBSTITUTE("Ref: "&amp;A18&amp;CHAR(10)&amp;"Customer: "&amp;D18&amp;"  "&amp;E18&amp;CHAR(10)&amp;"Phone: "&amp;F18&amp;CHAR(10)&amp;"Email: "&amp;G18&amp;CHAR(10)&amp;"Prefers: "&amp;H18&amp;CHAR(10)&amp;"Enquiry: "&amp;LEFT(I18,600)&amp;CHAR(10)&amp;CHAR(10)&amp;"Sent from the Preston Mazda enquiry log.","%","%25"),"&amp;","%26")," ","%20"),"#","%23"),CHAR(10),"%0A"),"✉ Email parts"),"")</f>
        <v/>
      </c>
      <c r="U18" s="18" t="str">
        <f aca="false">IF(AND(N18="Yes",O18&lt;&gt;"Yes"),HYPERLINK("mailto:"&amp;Settings!$B$6&amp;"?subject="&amp;SUBSTITUTE(SUBSTITUTE(SUBSTITUTE(SUBSTITUTE(SUBSTITUTE("Customer contact required - "&amp;D18&amp;" "&amp;E18,"%","%25"),"&amp;","%26")," ","%20"),"#","%23"),CHAR(10),"%0A")&amp;"&amp;body="&amp;SUBSTITUTE(SUBSTITUTE(SUBSTITUTE(SUBSTITUTE(SUBSTITUTE("Ref: "&amp;A18&amp;CHAR(10)&amp;"Customer: "&amp;D18&amp;"  "&amp;E18&amp;CHAR(10)&amp;"Phone: "&amp;F18&amp;CHAR(10)&amp;"Email: "&amp;G18&amp;CHAR(10)&amp;"Prefers: "&amp;H18&amp;CHAR(10)&amp;"Enquiry: "&amp;LEFT(I18,600)&amp;CHAR(10)&amp;CHAR(10)&amp;"Sent from the Preston Mazda enquiry log.","%","%25"),"&amp;","%26")," ","%20"),"#","%23"),CHAR(10),"%0A"),"✉ Email advisors"),"")</f>
        <v/>
      </c>
      <c r="V18" s="18" t="str">
        <f aca="false">IF(OR(M18="",IFERROR(INDEX(Staff!$B$4:$B$33,MATCH(M18,Staff!$A$4:$A$33,0)),"")=""),"",HYPERLINK("mailto:"&amp;IFERROR(INDEX(Staff!$B$4:$B$33,MATCH(M18,Staff!$A$4:$A$33,0)),"")&amp;"?subject="&amp;SUBSTITUTE(SUBSTITUTE(SUBSTITUTE(SUBSTITUTE(SUBSTITUTE("Enquiry "&amp;A18&amp;" allocated to you - "&amp;D18,"%","%25"),"&amp;","%26")," ","%20"),"#","%23"),CHAR(10),"%0A")&amp;"&amp;body="&amp;SUBSTITUTE(SUBSTITUTE(SUBSTITUTE(SUBSTITUTE(SUBSTITUTE("Ref: "&amp;A18&amp;CHAR(10)&amp;"Customer: "&amp;D18&amp;"  "&amp;E18&amp;CHAR(10)&amp;"Phone: "&amp;F18&amp;CHAR(10)&amp;"Email: "&amp;G18&amp;CHAR(10)&amp;"Prefers: "&amp;H18&amp;CHAR(10)&amp;"Enquiry: "&amp;LEFT(I18,600)&amp;CHAR(10)&amp;CHAR(10)&amp;"Sent from the Preston Mazda enquiry log.","%","%25"),"&amp;","%26")," ","%20"),"#","%23"),CHAR(10),"%0A"),"✉ Email "&amp;M18))</f>
        <v/>
      </c>
      <c r="W18" s="18" t="str">
        <f aca="false">IF(OR(P18="",IFERROR(INDEX(Staff!$E$4:$E$33,MATCH(P18,Staff!$D$4:$D$33,0)),"")=""),"",HYPERLINK("mailto:"&amp;IFERROR(INDEX(Staff!$E$4:$E$33,MATCH(P18,Staff!$D$4:$D$33,0)),"")&amp;"?subject="&amp;SUBSTITUTE(SUBSTITUTE(SUBSTITUTE(SUBSTITUTE(SUBSTITUTE("Parts quote "&amp;A18&amp;" allocated to you - "&amp;D18,"%","%25"),"&amp;","%26")," ","%20"),"#","%23"),CHAR(10),"%0A")&amp;"&amp;body="&amp;SUBSTITUTE(SUBSTITUTE(SUBSTITUTE(SUBSTITUTE(SUBSTITUTE("Ref: "&amp;A18&amp;CHAR(10)&amp;"Customer: "&amp;D18&amp;"  "&amp;E18&amp;CHAR(10)&amp;"Phone: "&amp;F18&amp;CHAR(10)&amp;"Email: "&amp;G18&amp;CHAR(10)&amp;"Prefers: "&amp;H18&amp;CHAR(10)&amp;"Enquiry: "&amp;LEFT(I18,600)&amp;CHAR(10)&amp;CHAR(10)&amp;"Sent from the Preston Mazda enquiry log.","%","%25"),"&amp;","%26")," ","%20"),"#","%23"),CHAR(10),"%0A"),"✉ Email "&amp;P18))</f>
        <v/>
      </c>
    </row>
    <row r="19" customFormat="false" ht="15" hidden="false" customHeight="false" outlineLevel="0" collapsed="false">
      <c r="A19" s="10" t="str">
        <f aca="false">IF(D19="","","E-"&amp;TEXT(ROW()-3,"0000"))</f>
        <v/>
      </c>
      <c r="B19" s="11"/>
      <c r="C19" s="12"/>
      <c r="D19" s="13"/>
      <c r="E19" s="14"/>
      <c r="F19" s="12"/>
      <c r="G19" s="12"/>
      <c r="H19" s="15"/>
      <c r="I19" s="16"/>
      <c r="J19" s="17" t="str">
        <f aca="false">IF(D19="","",HYPERLINK(Settings!$B$7&amp;A19&amp;".pdf","Open "&amp;A19&amp;".pdf"))</f>
        <v/>
      </c>
      <c r="K19" s="16"/>
      <c r="L19" s="12"/>
      <c r="M19" s="12"/>
      <c r="N19" s="15"/>
      <c r="O19" s="15"/>
      <c r="P19" s="12"/>
      <c r="Q19" s="15"/>
      <c r="R19" s="15"/>
      <c r="S19" s="15" t="str">
        <f aca="false">IF(D19="","",IF(AND(O19="Yes",OR(Q19&lt;&gt;"Yes",R19="Yes")),"Complete","Open"))</f>
        <v/>
      </c>
      <c r="T19" s="18" t="str">
        <f aca="false">IF(AND(Q19="Yes",R19&lt;&gt;"Yes"),HYPERLINK("mailto:"&amp;Settings!$B$5&amp;"?subject="&amp;SUBSTITUTE(SUBSTITUTE(SUBSTITUTE(SUBSTITUTE(SUBSTITUTE("Parts quote required - "&amp;D19&amp;" "&amp;E19,"%","%25"),"&amp;","%26")," ","%20"),"#","%23"),CHAR(10),"%0A")&amp;"&amp;body="&amp;SUBSTITUTE(SUBSTITUTE(SUBSTITUTE(SUBSTITUTE(SUBSTITUTE("Ref: "&amp;A19&amp;CHAR(10)&amp;"Customer: "&amp;D19&amp;"  "&amp;E19&amp;CHAR(10)&amp;"Phone: "&amp;F19&amp;CHAR(10)&amp;"Email: "&amp;G19&amp;CHAR(10)&amp;"Prefers: "&amp;H19&amp;CHAR(10)&amp;"Enquiry: "&amp;LEFT(I19,600)&amp;CHAR(10)&amp;CHAR(10)&amp;"Sent from the Preston Mazda enquiry log.","%","%25"),"&amp;","%26")," ","%20"),"#","%23"),CHAR(10),"%0A"),"✉ Email parts"),"")</f>
        <v/>
      </c>
      <c r="U19" s="18" t="str">
        <f aca="false">IF(AND(N19="Yes",O19&lt;&gt;"Yes"),HYPERLINK("mailto:"&amp;Settings!$B$6&amp;"?subject="&amp;SUBSTITUTE(SUBSTITUTE(SUBSTITUTE(SUBSTITUTE(SUBSTITUTE("Customer contact required - "&amp;D19&amp;" "&amp;E19,"%","%25"),"&amp;","%26")," ","%20"),"#","%23"),CHAR(10),"%0A")&amp;"&amp;body="&amp;SUBSTITUTE(SUBSTITUTE(SUBSTITUTE(SUBSTITUTE(SUBSTITUTE("Ref: "&amp;A19&amp;CHAR(10)&amp;"Customer: "&amp;D19&amp;"  "&amp;E19&amp;CHAR(10)&amp;"Phone: "&amp;F19&amp;CHAR(10)&amp;"Email: "&amp;G19&amp;CHAR(10)&amp;"Prefers: "&amp;H19&amp;CHAR(10)&amp;"Enquiry: "&amp;LEFT(I19,600)&amp;CHAR(10)&amp;CHAR(10)&amp;"Sent from the Preston Mazda enquiry log.","%","%25"),"&amp;","%26")," ","%20"),"#","%23"),CHAR(10),"%0A"),"✉ Email advisors"),"")</f>
        <v/>
      </c>
      <c r="V19" s="18" t="str">
        <f aca="false">IF(OR(M19="",IFERROR(INDEX(Staff!$B$4:$B$33,MATCH(M19,Staff!$A$4:$A$33,0)),"")=""),"",HYPERLINK("mailto:"&amp;IFERROR(INDEX(Staff!$B$4:$B$33,MATCH(M19,Staff!$A$4:$A$33,0)),"")&amp;"?subject="&amp;SUBSTITUTE(SUBSTITUTE(SUBSTITUTE(SUBSTITUTE(SUBSTITUTE("Enquiry "&amp;A19&amp;" allocated to you - "&amp;D19,"%","%25"),"&amp;","%26")," ","%20"),"#","%23"),CHAR(10),"%0A")&amp;"&amp;body="&amp;SUBSTITUTE(SUBSTITUTE(SUBSTITUTE(SUBSTITUTE(SUBSTITUTE("Ref: "&amp;A19&amp;CHAR(10)&amp;"Customer: "&amp;D19&amp;"  "&amp;E19&amp;CHAR(10)&amp;"Phone: "&amp;F19&amp;CHAR(10)&amp;"Email: "&amp;G19&amp;CHAR(10)&amp;"Prefers: "&amp;H19&amp;CHAR(10)&amp;"Enquiry: "&amp;LEFT(I19,600)&amp;CHAR(10)&amp;CHAR(10)&amp;"Sent from the Preston Mazda enquiry log.","%","%25"),"&amp;","%26")," ","%20"),"#","%23"),CHAR(10),"%0A"),"✉ Email "&amp;M19))</f>
        <v/>
      </c>
      <c r="W19" s="18" t="str">
        <f aca="false">IF(OR(P19="",IFERROR(INDEX(Staff!$E$4:$E$33,MATCH(P19,Staff!$D$4:$D$33,0)),"")=""),"",HYPERLINK("mailto:"&amp;IFERROR(INDEX(Staff!$E$4:$E$33,MATCH(P19,Staff!$D$4:$D$33,0)),"")&amp;"?subject="&amp;SUBSTITUTE(SUBSTITUTE(SUBSTITUTE(SUBSTITUTE(SUBSTITUTE("Parts quote "&amp;A19&amp;" allocated to you - "&amp;D19,"%","%25"),"&amp;","%26")," ","%20"),"#","%23"),CHAR(10),"%0A")&amp;"&amp;body="&amp;SUBSTITUTE(SUBSTITUTE(SUBSTITUTE(SUBSTITUTE(SUBSTITUTE("Ref: "&amp;A19&amp;CHAR(10)&amp;"Customer: "&amp;D19&amp;"  "&amp;E19&amp;CHAR(10)&amp;"Phone: "&amp;F19&amp;CHAR(10)&amp;"Email: "&amp;G19&amp;CHAR(10)&amp;"Prefers: "&amp;H19&amp;CHAR(10)&amp;"Enquiry: "&amp;LEFT(I19,600)&amp;CHAR(10)&amp;CHAR(10)&amp;"Sent from the Preston Mazda enquiry log.","%","%25"),"&amp;","%26")," ","%20"),"#","%23"),CHAR(10),"%0A"),"✉ Email "&amp;P19))</f>
        <v/>
      </c>
    </row>
    <row r="20" customFormat="false" ht="15" hidden="false" customHeight="false" outlineLevel="0" collapsed="false">
      <c r="A20" s="10" t="str">
        <f aca="false">IF(D20="","","E-"&amp;TEXT(ROW()-3,"0000"))</f>
        <v/>
      </c>
      <c r="B20" s="11"/>
      <c r="C20" s="12"/>
      <c r="D20" s="13"/>
      <c r="E20" s="14"/>
      <c r="F20" s="12"/>
      <c r="G20" s="12"/>
      <c r="H20" s="15"/>
      <c r="I20" s="16"/>
      <c r="J20" s="17" t="str">
        <f aca="false">IF(D20="","",HYPERLINK(Settings!$B$7&amp;A20&amp;".pdf","Open "&amp;A20&amp;".pdf"))</f>
        <v/>
      </c>
      <c r="K20" s="16"/>
      <c r="L20" s="12"/>
      <c r="M20" s="12"/>
      <c r="N20" s="15"/>
      <c r="O20" s="15"/>
      <c r="P20" s="12"/>
      <c r="Q20" s="15"/>
      <c r="R20" s="15"/>
      <c r="S20" s="15" t="str">
        <f aca="false">IF(D20="","",IF(AND(O20="Yes",OR(Q20&lt;&gt;"Yes",R20="Yes")),"Complete","Open"))</f>
        <v/>
      </c>
      <c r="T20" s="18" t="str">
        <f aca="false">IF(AND(Q20="Yes",R20&lt;&gt;"Yes"),HYPERLINK("mailto:"&amp;Settings!$B$5&amp;"?subject="&amp;SUBSTITUTE(SUBSTITUTE(SUBSTITUTE(SUBSTITUTE(SUBSTITUTE("Parts quote required - "&amp;D20&amp;" "&amp;E20,"%","%25"),"&amp;","%26")," ","%20"),"#","%23"),CHAR(10),"%0A")&amp;"&amp;body="&amp;SUBSTITUTE(SUBSTITUTE(SUBSTITUTE(SUBSTITUTE(SUBSTITUTE("Ref: "&amp;A20&amp;CHAR(10)&amp;"Customer: "&amp;D20&amp;"  "&amp;E20&amp;CHAR(10)&amp;"Phone: "&amp;F20&amp;CHAR(10)&amp;"Email: "&amp;G20&amp;CHAR(10)&amp;"Prefers: "&amp;H20&amp;CHAR(10)&amp;"Enquiry: "&amp;LEFT(I20,600)&amp;CHAR(10)&amp;CHAR(10)&amp;"Sent from the Preston Mazda enquiry log.","%","%25"),"&amp;","%26")," ","%20"),"#","%23"),CHAR(10),"%0A"),"✉ Email parts"),"")</f>
        <v/>
      </c>
      <c r="U20" s="18" t="str">
        <f aca="false">IF(AND(N20="Yes",O20&lt;&gt;"Yes"),HYPERLINK("mailto:"&amp;Settings!$B$6&amp;"?subject="&amp;SUBSTITUTE(SUBSTITUTE(SUBSTITUTE(SUBSTITUTE(SUBSTITUTE("Customer contact required - "&amp;D20&amp;" "&amp;E20,"%","%25"),"&amp;","%26")," ","%20"),"#","%23"),CHAR(10),"%0A")&amp;"&amp;body="&amp;SUBSTITUTE(SUBSTITUTE(SUBSTITUTE(SUBSTITUTE(SUBSTITUTE("Ref: "&amp;A20&amp;CHAR(10)&amp;"Customer: "&amp;D20&amp;"  "&amp;E20&amp;CHAR(10)&amp;"Phone: "&amp;F20&amp;CHAR(10)&amp;"Email: "&amp;G20&amp;CHAR(10)&amp;"Prefers: "&amp;H20&amp;CHAR(10)&amp;"Enquiry: "&amp;LEFT(I20,600)&amp;CHAR(10)&amp;CHAR(10)&amp;"Sent from the Preston Mazda enquiry log.","%","%25"),"&amp;","%26")," ","%20"),"#","%23"),CHAR(10),"%0A"),"✉ Email advisors"),"")</f>
        <v/>
      </c>
      <c r="V20" s="18" t="str">
        <f aca="false">IF(OR(M20="",IFERROR(INDEX(Staff!$B$4:$B$33,MATCH(M20,Staff!$A$4:$A$33,0)),"")=""),"",HYPERLINK("mailto:"&amp;IFERROR(INDEX(Staff!$B$4:$B$33,MATCH(M20,Staff!$A$4:$A$33,0)),"")&amp;"?subject="&amp;SUBSTITUTE(SUBSTITUTE(SUBSTITUTE(SUBSTITUTE(SUBSTITUTE("Enquiry "&amp;A20&amp;" allocated to you - "&amp;D20,"%","%25"),"&amp;","%26")," ","%20"),"#","%23"),CHAR(10),"%0A")&amp;"&amp;body="&amp;SUBSTITUTE(SUBSTITUTE(SUBSTITUTE(SUBSTITUTE(SUBSTITUTE("Ref: "&amp;A20&amp;CHAR(10)&amp;"Customer: "&amp;D20&amp;"  "&amp;E20&amp;CHAR(10)&amp;"Phone: "&amp;F20&amp;CHAR(10)&amp;"Email: "&amp;G20&amp;CHAR(10)&amp;"Prefers: "&amp;H20&amp;CHAR(10)&amp;"Enquiry: "&amp;LEFT(I20,600)&amp;CHAR(10)&amp;CHAR(10)&amp;"Sent from the Preston Mazda enquiry log.","%","%25"),"&amp;","%26")," ","%20"),"#","%23"),CHAR(10),"%0A"),"✉ Email "&amp;M20))</f>
        <v/>
      </c>
      <c r="W20" s="18" t="str">
        <f aca="false">IF(OR(P20="",IFERROR(INDEX(Staff!$E$4:$E$33,MATCH(P20,Staff!$D$4:$D$33,0)),"")=""),"",HYPERLINK("mailto:"&amp;IFERROR(INDEX(Staff!$E$4:$E$33,MATCH(P20,Staff!$D$4:$D$33,0)),"")&amp;"?subject="&amp;SUBSTITUTE(SUBSTITUTE(SUBSTITUTE(SUBSTITUTE(SUBSTITUTE("Parts quote "&amp;A20&amp;" allocated to you - "&amp;D20,"%","%25"),"&amp;","%26")," ","%20"),"#","%23"),CHAR(10),"%0A")&amp;"&amp;body="&amp;SUBSTITUTE(SUBSTITUTE(SUBSTITUTE(SUBSTITUTE(SUBSTITUTE("Ref: "&amp;A20&amp;CHAR(10)&amp;"Customer: "&amp;D20&amp;"  "&amp;E20&amp;CHAR(10)&amp;"Phone: "&amp;F20&amp;CHAR(10)&amp;"Email: "&amp;G20&amp;CHAR(10)&amp;"Prefers: "&amp;H20&amp;CHAR(10)&amp;"Enquiry: "&amp;LEFT(I20,600)&amp;CHAR(10)&amp;CHAR(10)&amp;"Sent from the Preston Mazda enquiry log.","%","%25"),"&amp;","%26")," ","%20"),"#","%23"),CHAR(10),"%0A"),"✉ Email "&amp;P20))</f>
        <v/>
      </c>
    </row>
    <row r="21" customFormat="false" ht="15" hidden="false" customHeight="false" outlineLevel="0" collapsed="false">
      <c r="A21" s="10" t="str">
        <f aca="false">IF(D21="","","E-"&amp;TEXT(ROW()-3,"0000"))</f>
        <v/>
      </c>
      <c r="B21" s="11"/>
      <c r="C21" s="12"/>
      <c r="D21" s="13"/>
      <c r="E21" s="14"/>
      <c r="F21" s="12"/>
      <c r="G21" s="12"/>
      <c r="H21" s="15"/>
      <c r="I21" s="16"/>
      <c r="J21" s="17" t="str">
        <f aca="false">IF(D21="","",HYPERLINK(Settings!$B$7&amp;A21&amp;".pdf","Open "&amp;A21&amp;".pdf"))</f>
        <v/>
      </c>
      <c r="K21" s="16"/>
      <c r="L21" s="12"/>
      <c r="M21" s="12"/>
      <c r="N21" s="15"/>
      <c r="O21" s="15"/>
      <c r="P21" s="12"/>
      <c r="Q21" s="15"/>
      <c r="R21" s="15"/>
      <c r="S21" s="15" t="str">
        <f aca="false">IF(D21="","",IF(AND(O21="Yes",OR(Q21&lt;&gt;"Yes",R21="Yes")),"Complete","Open"))</f>
        <v/>
      </c>
      <c r="T21" s="18" t="str">
        <f aca="false">IF(AND(Q21="Yes",R21&lt;&gt;"Yes"),HYPERLINK("mailto:"&amp;Settings!$B$5&amp;"?subject="&amp;SUBSTITUTE(SUBSTITUTE(SUBSTITUTE(SUBSTITUTE(SUBSTITUTE("Parts quote required - "&amp;D21&amp;" "&amp;E21,"%","%25"),"&amp;","%26")," ","%20"),"#","%23"),CHAR(10),"%0A")&amp;"&amp;body="&amp;SUBSTITUTE(SUBSTITUTE(SUBSTITUTE(SUBSTITUTE(SUBSTITUTE("Ref: "&amp;A21&amp;CHAR(10)&amp;"Customer: "&amp;D21&amp;"  "&amp;E21&amp;CHAR(10)&amp;"Phone: "&amp;F21&amp;CHAR(10)&amp;"Email: "&amp;G21&amp;CHAR(10)&amp;"Prefers: "&amp;H21&amp;CHAR(10)&amp;"Enquiry: "&amp;LEFT(I21,600)&amp;CHAR(10)&amp;CHAR(10)&amp;"Sent from the Preston Mazda enquiry log.","%","%25"),"&amp;","%26")," ","%20"),"#","%23"),CHAR(10),"%0A"),"✉ Email parts"),"")</f>
        <v/>
      </c>
      <c r="U21" s="18" t="str">
        <f aca="false">IF(AND(N21="Yes",O21&lt;&gt;"Yes"),HYPERLINK("mailto:"&amp;Settings!$B$6&amp;"?subject="&amp;SUBSTITUTE(SUBSTITUTE(SUBSTITUTE(SUBSTITUTE(SUBSTITUTE("Customer contact required - "&amp;D21&amp;" "&amp;E21,"%","%25"),"&amp;","%26")," ","%20"),"#","%23"),CHAR(10),"%0A")&amp;"&amp;body="&amp;SUBSTITUTE(SUBSTITUTE(SUBSTITUTE(SUBSTITUTE(SUBSTITUTE("Ref: "&amp;A21&amp;CHAR(10)&amp;"Customer: "&amp;D21&amp;"  "&amp;E21&amp;CHAR(10)&amp;"Phone: "&amp;F21&amp;CHAR(10)&amp;"Email: "&amp;G21&amp;CHAR(10)&amp;"Prefers: "&amp;H21&amp;CHAR(10)&amp;"Enquiry: "&amp;LEFT(I21,600)&amp;CHAR(10)&amp;CHAR(10)&amp;"Sent from the Preston Mazda enquiry log.","%","%25"),"&amp;","%26")," ","%20"),"#","%23"),CHAR(10),"%0A"),"✉ Email advisors"),"")</f>
        <v/>
      </c>
      <c r="V21" s="18" t="str">
        <f aca="false">IF(OR(M21="",IFERROR(INDEX(Staff!$B$4:$B$33,MATCH(M21,Staff!$A$4:$A$33,0)),"")=""),"",HYPERLINK("mailto:"&amp;IFERROR(INDEX(Staff!$B$4:$B$33,MATCH(M21,Staff!$A$4:$A$33,0)),"")&amp;"?subject="&amp;SUBSTITUTE(SUBSTITUTE(SUBSTITUTE(SUBSTITUTE(SUBSTITUTE("Enquiry "&amp;A21&amp;" allocated to you - "&amp;D21,"%","%25"),"&amp;","%26")," ","%20"),"#","%23"),CHAR(10),"%0A")&amp;"&amp;body="&amp;SUBSTITUTE(SUBSTITUTE(SUBSTITUTE(SUBSTITUTE(SUBSTITUTE("Ref: "&amp;A21&amp;CHAR(10)&amp;"Customer: "&amp;D21&amp;"  "&amp;E21&amp;CHAR(10)&amp;"Phone: "&amp;F21&amp;CHAR(10)&amp;"Email: "&amp;G21&amp;CHAR(10)&amp;"Prefers: "&amp;H21&amp;CHAR(10)&amp;"Enquiry: "&amp;LEFT(I21,600)&amp;CHAR(10)&amp;CHAR(10)&amp;"Sent from the Preston Mazda enquiry log.","%","%25"),"&amp;","%26")," ","%20"),"#","%23"),CHAR(10),"%0A"),"✉ Email "&amp;M21))</f>
        <v/>
      </c>
      <c r="W21" s="18" t="str">
        <f aca="false">IF(OR(P21="",IFERROR(INDEX(Staff!$E$4:$E$33,MATCH(P21,Staff!$D$4:$D$33,0)),"")=""),"",HYPERLINK("mailto:"&amp;IFERROR(INDEX(Staff!$E$4:$E$33,MATCH(P21,Staff!$D$4:$D$33,0)),"")&amp;"?subject="&amp;SUBSTITUTE(SUBSTITUTE(SUBSTITUTE(SUBSTITUTE(SUBSTITUTE("Parts quote "&amp;A21&amp;" allocated to you - "&amp;D21,"%","%25"),"&amp;","%26")," ","%20"),"#","%23"),CHAR(10),"%0A")&amp;"&amp;body="&amp;SUBSTITUTE(SUBSTITUTE(SUBSTITUTE(SUBSTITUTE(SUBSTITUTE("Ref: "&amp;A21&amp;CHAR(10)&amp;"Customer: "&amp;D21&amp;"  "&amp;E21&amp;CHAR(10)&amp;"Phone: "&amp;F21&amp;CHAR(10)&amp;"Email: "&amp;G21&amp;CHAR(10)&amp;"Prefers: "&amp;H21&amp;CHAR(10)&amp;"Enquiry: "&amp;LEFT(I21,600)&amp;CHAR(10)&amp;CHAR(10)&amp;"Sent from the Preston Mazda enquiry log.","%","%25"),"&amp;","%26")," ","%20"),"#","%23"),CHAR(10),"%0A"),"✉ Email "&amp;P21))</f>
        <v/>
      </c>
    </row>
    <row r="22" customFormat="false" ht="15" hidden="false" customHeight="false" outlineLevel="0" collapsed="false">
      <c r="A22" s="10" t="str">
        <f aca="false">IF(D22="","","E-"&amp;TEXT(ROW()-3,"0000"))</f>
        <v/>
      </c>
      <c r="B22" s="11"/>
      <c r="C22" s="12"/>
      <c r="D22" s="13"/>
      <c r="E22" s="14"/>
      <c r="F22" s="12"/>
      <c r="G22" s="12"/>
      <c r="H22" s="15"/>
      <c r="I22" s="16"/>
      <c r="J22" s="17" t="str">
        <f aca="false">IF(D22="","",HYPERLINK(Settings!$B$7&amp;A22&amp;".pdf","Open "&amp;A22&amp;".pdf"))</f>
        <v/>
      </c>
      <c r="K22" s="16"/>
      <c r="L22" s="12"/>
      <c r="M22" s="12"/>
      <c r="N22" s="15"/>
      <c r="O22" s="15"/>
      <c r="P22" s="12"/>
      <c r="Q22" s="15"/>
      <c r="R22" s="15"/>
      <c r="S22" s="15" t="str">
        <f aca="false">IF(D22="","",IF(AND(O22="Yes",OR(Q22&lt;&gt;"Yes",R22="Yes")),"Complete","Open"))</f>
        <v/>
      </c>
      <c r="T22" s="18" t="str">
        <f aca="false">IF(AND(Q22="Yes",R22&lt;&gt;"Yes"),HYPERLINK("mailto:"&amp;Settings!$B$5&amp;"?subject="&amp;SUBSTITUTE(SUBSTITUTE(SUBSTITUTE(SUBSTITUTE(SUBSTITUTE("Parts quote required - "&amp;D22&amp;" "&amp;E22,"%","%25"),"&amp;","%26")," ","%20"),"#","%23"),CHAR(10),"%0A")&amp;"&amp;body="&amp;SUBSTITUTE(SUBSTITUTE(SUBSTITUTE(SUBSTITUTE(SUBSTITUTE("Ref: "&amp;A22&amp;CHAR(10)&amp;"Customer: "&amp;D22&amp;"  "&amp;E22&amp;CHAR(10)&amp;"Phone: "&amp;F22&amp;CHAR(10)&amp;"Email: "&amp;G22&amp;CHAR(10)&amp;"Prefers: "&amp;H22&amp;CHAR(10)&amp;"Enquiry: "&amp;LEFT(I22,600)&amp;CHAR(10)&amp;CHAR(10)&amp;"Sent from the Preston Mazda enquiry log.","%","%25"),"&amp;","%26")," ","%20"),"#","%23"),CHAR(10),"%0A"),"✉ Email parts"),"")</f>
        <v/>
      </c>
      <c r="U22" s="18" t="str">
        <f aca="false">IF(AND(N22="Yes",O22&lt;&gt;"Yes"),HYPERLINK("mailto:"&amp;Settings!$B$6&amp;"?subject="&amp;SUBSTITUTE(SUBSTITUTE(SUBSTITUTE(SUBSTITUTE(SUBSTITUTE("Customer contact required - "&amp;D22&amp;" "&amp;E22,"%","%25"),"&amp;","%26")," ","%20"),"#","%23"),CHAR(10),"%0A")&amp;"&amp;body="&amp;SUBSTITUTE(SUBSTITUTE(SUBSTITUTE(SUBSTITUTE(SUBSTITUTE("Ref: "&amp;A22&amp;CHAR(10)&amp;"Customer: "&amp;D22&amp;"  "&amp;E22&amp;CHAR(10)&amp;"Phone: "&amp;F22&amp;CHAR(10)&amp;"Email: "&amp;G22&amp;CHAR(10)&amp;"Prefers: "&amp;H22&amp;CHAR(10)&amp;"Enquiry: "&amp;LEFT(I22,600)&amp;CHAR(10)&amp;CHAR(10)&amp;"Sent from the Preston Mazda enquiry log.","%","%25"),"&amp;","%26")," ","%20"),"#","%23"),CHAR(10),"%0A"),"✉ Email advisors"),"")</f>
        <v/>
      </c>
      <c r="V22" s="18" t="str">
        <f aca="false">IF(OR(M22="",IFERROR(INDEX(Staff!$B$4:$B$33,MATCH(M22,Staff!$A$4:$A$33,0)),"")=""),"",HYPERLINK("mailto:"&amp;IFERROR(INDEX(Staff!$B$4:$B$33,MATCH(M22,Staff!$A$4:$A$33,0)),"")&amp;"?subject="&amp;SUBSTITUTE(SUBSTITUTE(SUBSTITUTE(SUBSTITUTE(SUBSTITUTE("Enquiry "&amp;A22&amp;" allocated to you - "&amp;D22,"%","%25"),"&amp;","%26")," ","%20"),"#","%23"),CHAR(10),"%0A")&amp;"&amp;body="&amp;SUBSTITUTE(SUBSTITUTE(SUBSTITUTE(SUBSTITUTE(SUBSTITUTE("Ref: "&amp;A22&amp;CHAR(10)&amp;"Customer: "&amp;D22&amp;"  "&amp;E22&amp;CHAR(10)&amp;"Phone: "&amp;F22&amp;CHAR(10)&amp;"Email: "&amp;G22&amp;CHAR(10)&amp;"Prefers: "&amp;H22&amp;CHAR(10)&amp;"Enquiry: "&amp;LEFT(I22,600)&amp;CHAR(10)&amp;CHAR(10)&amp;"Sent from the Preston Mazda enquiry log.","%","%25"),"&amp;","%26")," ","%20"),"#","%23"),CHAR(10),"%0A"),"✉ Email "&amp;M22))</f>
        <v/>
      </c>
      <c r="W22" s="18" t="str">
        <f aca="false">IF(OR(P22="",IFERROR(INDEX(Staff!$E$4:$E$33,MATCH(P22,Staff!$D$4:$D$33,0)),"")=""),"",HYPERLINK("mailto:"&amp;IFERROR(INDEX(Staff!$E$4:$E$33,MATCH(P22,Staff!$D$4:$D$33,0)),"")&amp;"?subject="&amp;SUBSTITUTE(SUBSTITUTE(SUBSTITUTE(SUBSTITUTE(SUBSTITUTE("Parts quote "&amp;A22&amp;" allocated to you - "&amp;D22,"%","%25"),"&amp;","%26")," ","%20"),"#","%23"),CHAR(10),"%0A")&amp;"&amp;body="&amp;SUBSTITUTE(SUBSTITUTE(SUBSTITUTE(SUBSTITUTE(SUBSTITUTE("Ref: "&amp;A22&amp;CHAR(10)&amp;"Customer: "&amp;D22&amp;"  "&amp;E22&amp;CHAR(10)&amp;"Phone: "&amp;F22&amp;CHAR(10)&amp;"Email: "&amp;G22&amp;CHAR(10)&amp;"Prefers: "&amp;H22&amp;CHAR(10)&amp;"Enquiry: "&amp;LEFT(I22,600)&amp;CHAR(10)&amp;CHAR(10)&amp;"Sent from the Preston Mazda enquiry log.","%","%25"),"&amp;","%26")," ","%20"),"#","%23"),CHAR(10),"%0A"),"✉ Email "&amp;P22))</f>
        <v/>
      </c>
    </row>
    <row r="23" customFormat="false" ht="15" hidden="false" customHeight="false" outlineLevel="0" collapsed="false">
      <c r="A23" s="10" t="str">
        <f aca="false">IF(D23="","","E-"&amp;TEXT(ROW()-3,"0000"))</f>
        <v/>
      </c>
      <c r="B23" s="11"/>
      <c r="C23" s="12"/>
      <c r="D23" s="13"/>
      <c r="E23" s="14"/>
      <c r="F23" s="12"/>
      <c r="G23" s="12"/>
      <c r="H23" s="15"/>
      <c r="I23" s="16"/>
      <c r="J23" s="17" t="str">
        <f aca="false">IF(D23="","",HYPERLINK(Settings!$B$7&amp;A23&amp;".pdf","Open "&amp;A23&amp;".pdf"))</f>
        <v/>
      </c>
      <c r="K23" s="16"/>
      <c r="L23" s="12"/>
      <c r="M23" s="12"/>
      <c r="N23" s="15"/>
      <c r="O23" s="15"/>
      <c r="P23" s="12"/>
      <c r="Q23" s="15"/>
      <c r="R23" s="15"/>
      <c r="S23" s="15" t="str">
        <f aca="false">IF(D23="","",IF(AND(O23="Yes",OR(Q23&lt;&gt;"Yes",R23="Yes")),"Complete","Open"))</f>
        <v/>
      </c>
      <c r="T23" s="18" t="str">
        <f aca="false">IF(AND(Q23="Yes",R23&lt;&gt;"Yes"),HYPERLINK("mailto:"&amp;Settings!$B$5&amp;"?subject="&amp;SUBSTITUTE(SUBSTITUTE(SUBSTITUTE(SUBSTITUTE(SUBSTITUTE("Parts quote required - "&amp;D23&amp;" "&amp;E23,"%","%25"),"&amp;","%26")," ","%20"),"#","%23"),CHAR(10),"%0A")&amp;"&amp;body="&amp;SUBSTITUTE(SUBSTITUTE(SUBSTITUTE(SUBSTITUTE(SUBSTITUTE("Ref: "&amp;A23&amp;CHAR(10)&amp;"Customer: "&amp;D23&amp;"  "&amp;E23&amp;CHAR(10)&amp;"Phone: "&amp;F23&amp;CHAR(10)&amp;"Email: "&amp;G23&amp;CHAR(10)&amp;"Prefers: "&amp;H23&amp;CHAR(10)&amp;"Enquiry: "&amp;LEFT(I23,600)&amp;CHAR(10)&amp;CHAR(10)&amp;"Sent from the Preston Mazda enquiry log.","%","%25"),"&amp;","%26")," ","%20"),"#","%23"),CHAR(10),"%0A"),"✉ Email parts"),"")</f>
        <v/>
      </c>
      <c r="U23" s="18" t="str">
        <f aca="false">IF(AND(N23="Yes",O23&lt;&gt;"Yes"),HYPERLINK("mailto:"&amp;Settings!$B$6&amp;"?subject="&amp;SUBSTITUTE(SUBSTITUTE(SUBSTITUTE(SUBSTITUTE(SUBSTITUTE("Customer contact required - "&amp;D23&amp;" "&amp;E23,"%","%25"),"&amp;","%26")," ","%20"),"#","%23"),CHAR(10),"%0A")&amp;"&amp;body="&amp;SUBSTITUTE(SUBSTITUTE(SUBSTITUTE(SUBSTITUTE(SUBSTITUTE("Ref: "&amp;A23&amp;CHAR(10)&amp;"Customer: "&amp;D23&amp;"  "&amp;E23&amp;CHAR(10)&amp;"Phone: "&amp;F23&amp;CHAR(10)&amp;"Email: "&amp;G23&amp;CHAR(10)&amp;"Prefers: "&amp;H23&amp;CHAR(10)&amp;"Enquiry: "&amp;LEFT(I23,600)&amp;CHAR(10)&amp;CHAR(10)&amp;"Sent from the Preston Mazda enquiry log.","%","%25"),"&amp;","%26")," ","%20"),"#","%23"),CHAR(10),"%0A"),"✉ Email advisors"),"")</f>
        <v/>
      </c>
      <c r="V23" s="18" t="str">
        <f aca="false">IF(OR(M23="",IFERROR(INDEX(Staff!$B$4:$B$33,MATCH(M23,Staff!$A$4:$A$33,0)),"")=""),"",HYPERLINK("mailto:"&amp;IFERROR(INDEX(Staff!$B$4:$B$33,MATCH(M23,Staff!$A$4:$A$33,0)),"")&amp;"?subject="&amp;SUBSTITUTE(SUBSTITUTE(SUBSTITUTE(SUBSTITUTE(SUBSTITUTE("Enquiry "&amp;A23&amp;" allocated to you - "&amp;D23,"%","%25"),"&amp;","%26")," ","%20"),"#","%23"),CHAR(10),"%0A")&amp;"&amp;body="&amp;SUBSTITUTE(SUBSTITUTE(SUBSTITUTE(SUBSTITUTE(SUBSTITUTE("Ref: "&amp;A23&amp;CHAR(10)&amp;"Customer: "&amp;D23&amp;"  "&amp;E23&amp;CHAR(10)&amp;"Phone: "&amp;F23&amp;CHAR(10)&amp;"Email: "&amp;G23&amp;CHAR(10)&amp;"Prefers: "&amp;H23&amp;CHAR(10)&amp;"Enquiry: "&amp;LEFT(I23,600)&amp;CHAR(10)&amp;CHAR(10)&amp;"Sent from the Preston Mazda enquiry log.","%","%25"),"&amp;","%26")," ","%20"),"#","%23"),CHAR(10),"%0A"),"✉ Email "&amp;M23))</f>
        <v/>
      </c>
      <c r="W23" s="18" t="str">
        <f aca="false">IF(OR(P23="",IFERROR(INDEX(Staff!$E$4:$E$33,MATCH(P23,Staff!$D$4:$D$33,0)),"")=""),"",HYPERLINK("mailto:"&amp;IFERROR(INDEX(Staff!$E$4:$E$33,MATCH(P23,Staff!$D$4:$D$33,0)),"")&amp;"?subject="&amp;SUBSTITUTE(SUBSTITUTE(SUBSTITUTE(SUBSTITUTE(SUBSTITUTE("Parts quote "&amp;A23&amp;" allocated to you - "&amp;D23,"%","%25"),"&amp;","%26")," ","%20"),"#","%23"),CHAR(10),"%0A")&amp;"&amp;body="&amp;SUBSTITUTE(SUBSTITUTE(SUBSTITUTE(SUBSTITUTE(SUBSTITUTE("Ref: "&amp;A23&amp;CHAR(10)&amp;"Customer: "&amp;D23&amp;"  "&amp;E23&amp;CHAR(10)&amp;"Phone: "&amp;F23&amp;CHAR(10)&amp;"Email: "&amp;G23&amp;CHAR(10)&amp;"Prefers: "&amp;H23&amp;CHAR(10)&amp;"Enquiry: "&amp;LEFT(I23,600)&amp;CHAR(10)&amp;CHAR(10)&amp;"Sent from the Preston Mazda enquiry log.","%","%25"),"&amp;","%26")," ","%20"),"#","%23"),CHAR(10),"%0A"),"✉ Email "&amp;P23))</f>
        <v/>
      </c>
    </row>
    <row r="24" customFormat="false" ht="15" hidden="false" customHeight="false" outlineLevel="0" collapsed="false">
      <c r="A24" s="10" t="str">
        <f aca="false">IF(D24="","","E-"&amp;TEXT(ROW()-3,"0000"))</f>
        <v/>
      </c>
      <c r="B24" s="11"/>
      <c r="C24" s="12"/>
      <c r="D24" s="13"/>
      <c r="E24" s="14"/>
      <c r="F24" s="12"/>
      <c r="G24" s="12"/>
      <c r="H24" s="15"/>
      <c r="I24" s="16"/>
      <c r="J24" s="17" t="str">
        <f aca="false">IF(D24="","",HYPERLINK(Settings!$B$7&amp;A24&amp;".pdf","Open "&amp;A24&amp;".pdf"))</f>
        <v/>
      </c>
      <c r="K24" s="16"/>
      <c r="L24" s="12"/>
      <c r="M24" s="12"/>
      <c r="N24" s="15"/>
      <c r="O24" s="15"/>
      <c r="P24" s="12"/>
      <c r="Q24" s="15"/>
      <c r="R24" s="15"/>
      <c r="S24" s="15" t="str">
        <f aca="false">IF(D24="","",IF(AND(O24="Yes",OR(Q24&lt;&gt;"Yes",R24="Yes")),"Complete","Open"))</f>
        <v/>
      </c>
      <c r="T24" s="18" t="str">
        <f aca="false">IF(AND(Q24="Yes",R24&lt;&gt;"Yes"),HYPERLINK("mailto:"&amp;Settings!$B$5&amp;"?subject="&amp;SUBSTITUTE(SUBSTITUTE(SUBSTITUTE(SUBSTITUTE(SUBSTITUTE("Parts quote required - "&amp;D24&amp;" "&amp;E24,"%","%25"),"&amp;","%26")," ","%20"),"#","%23"),CHAR(10),"%0A")&amp;"&amp;body="&amp;SUBSTITUTE(SUBSTITUTE(SUBSTITUTE(SUBSTITUTE(SUBSTITUTE("Ref: "&amp;A24&amp;CHAR(10)&amp;"Customer: "&amp;D24&amp;"  "&amp;E24&amp;CHAR(10)&amp;"Phone: "&amp;F24&amp;CHAR(10)&amp;"Email: "&amp;G24&amp;CHAR(10)&amp;"Prefers: "&amp;H24&amp;CHAR(10)&amp;"Enquiry: "&amp;LEFT(I24,600)&amp;CHAR(10)&amp;CHAR(10)&amp;"Sent from the Preston Mazda enquiry log.","%","%25"),"&amp;","%26")," ","%20"),"#","%23"),CHAR(10),"%0A"),"✉ Email parts"),"")</f>
        <v/>
      </c>
      <c r="U24" s="18" t="str">
        <f aca="false">IF(AND(N24="Yes",O24&lt;&gt;"Yes"),HYPERLINK("mailto:"&amp;Settings!$B$6&amp;"?subject="&amp;SUBSTITUTE(SUBSTITUTE(SUBSTITUTE(SUBSTITUTE(SUBSTITUTE("Customer contact required - "&amp;D24&amp;" "&amp;E24,"%","%25"),"&amp;","%26")," ","%20"),"#","%23"),CHAR(10),"%0A")&amp;"&amp;body="&amp;SUBSTITUTE(SUBSTITUTE(SUBSTITUTE(SUBSTITUTE(SUBSTITUTE("Ref: "&amp;A24&amp;CHAR(10)&amp;"Customer: "&amp;D24&amp;"  "&amp;E24&amp;CHAR(10)&amp;"Phone: "&amp;F24&amp;CHAR(10)&amp;"Email: "&amp;G24&amp;CHAR(10)&amp;"Prefers: "&amp;H24&amp;CHAR(10)&amp;"Enquiry: "&amp;LEFT(I24,600)&amp;CHAR(10)&amp;CHAR(10)&amp;"Sent from the Preston Mazda enquiry log.","%","%25"),"&amp;","%26")," ","%20"),"#","%23"),CHAR(10),"%0A"),"✉ Email advisors"),"")</f>
        <v/>
      </c>
      <c r="V24" s="18" t="str">
        <f aca="false">IF(OR(M24="",IFERROR(INDEX(Staff!$B$4:$B$33,MATCH(M24,Staff!$A$4:$A$33,0)),"")=""),"",HYPERLINK("mailto:"&amp;IFERROR(INDEX(Staff!$B$4:$B$33,MATCH(M24,Staff!$A$4:$A$33,0)),"")&amp;"?subject="&amp;SUBSTITUTE(SUBSTITUTE(SUBSTITUTE(SUBSTITUTE(SUBSTITUTE("Enquiry "&amp;A24&amp;" allocated to you - "&amp;D24,"%","%25"),"&amp;","%26")," ","%20"),"#","%23"),CHAR(10),"%0A")&amp;"&amp;body="&amp;SUBSTITUTE(SUBSTITUTE(SUBSTITUTE(SUBSTITUTE(SUBSTITUTE("Ref: "&amp;A24&amp;CHAR(10)&amp;"Customer: "&amp;D24&amp;"  "&amp;E24&amp;CHAR(10)&amp;"Phone: "&amp;F24&amp;CHAR(10)&amp;"Email: "&amp;G24&amp;CHAR(10)&amp;"Prefers: "&amp;H24&amp;CHAR(10)&amp;"Enquiry: "&amp;LEFT(I24,600)&amp;CHAR(10)&amp;CHAR(10)&amp;"Sent from the Preston Mazda enquiry log.","%","%25"),"&amp;","%26")," ","%20"),"#","%23"),CHAR(10),"%0A"),"✉ Email "&amp;M24))</f>
        <v/>
      </c>
      <c r="W24" s="18" t="str">
        <f aca="false">IF(OR(P24="",IFERROR(INDEX(Staff!$E$4:$E$33,MATCH(P24,Staff!$D$4:$D$33,0)),"")=""),"",HYPERLINK("mailto:"&amp;IFERROR(INDEX(Staff!$E$4:$E$33,MATCH(P24,Staff!$D$4:$D$33,0)),"")&amp;"?subject="&amp;SUBSTITUTE(SUBSTITUTE(SUBSTITUTE(SUBSTITUTE(SUBSTITUTE("Parts quote "&amp;A24&amp;" allocated to you - "&amp;D24,"%","%25"),"&amp;","%26")," ","%20"),"#","%23"),CHAR(10),"%0A")&amp;"&amp;body="&amp;SUBSTITUTE(SUBSTITUTE(SUBSTITUTE(SUBSTITUTE(SUBSTITUTE("Ref: "&amp;A24&amp;CHAR(10)&amp;"Customer: "&amp;D24&amp;"  "&amp;E24&amp;CHAR(10)&amp;"Phone: "&amp;F24&amp;CHAR(10)&amp;"Email: "&amp;G24&amp;CHAR(10)&amp;"Prefers: "&amp;H24&amp;CHAR(10)&amp;"Enquiry: "&amp;LEFT(I24,600)&amp;CHAR(10)&amp;CHAR(10)&amp;"Sent from the Preston Mazda enquiry log.","%","%25"),"&amp;","%26")," ","%20"),"#","%23"),CHAR(10),"%0A"),"✉ Email "&amp;P24))</f>
        <v/>
      </c>
    </row>
    <row r="25" customFormat="false" ht="15" hidden="false" customHeight="false" outlineLevel="0" collapsed="false">
      <c r="A25" s="10" t="str">
        <f aca="false">IF(D25="","","E-"&amp;TEXT(ROW()-3,"0000"))</f>
        <v/>
      </c>
      <c r="B25" s="11"/>
      <c r="C25" s="12"/>
      <c r="D25" s="13"/>
      <c r="E25" s="14"/>
      <c r="F25" s="12"/>
      <c r="G25" s="12"/>
      <c r="H25" s="15"/>
      <c r="I25" s="16"/>
      <c r="J25" s="17" t="str">
        <f aca="false">IF(D25="","",HYPERLINK(Settings!$B$7&amp;A25&amp;".pdf","Open "&amp;A25&amp;".pdf"))</f>
        <v/>
      </c>
      <c r="K25" s="16"/>
      <c r="L25" s="12"/>
      <c r="M25" s="12"/>
      <c r="N25" s="15"/>
      <c r="O25" s="15"/>
      <c r="P25" s="12"/>
      <c r="Q25" s="15"/>
      <c r="R25" s="15"/>
      <c r="S25" s="15" t="str">
        <f aca="false">IF(D25="","",IF(AND(O25="Yes",OR(Q25&lt;&gt;"Yes",R25="Yes")),"Complete","Open"))</f>
        <v/>
      </c>
      <c r="T25" s="18" t="str">
        <f aca="false">IF(AND(Q25="Yes",R25&lt;&gt;"Yes"),HYPERLINK("mailto:"&amp;Settings!$B$5&amp;"?subject="&amp;SUBSTITUTE(SUBSTITUTE(SUBSTITUTE(SUBSTITUTE(SUBSTITUTE("Parts quote required - "&amp;D25&amp;" "&amp;E25,"%","%25"),"&amp;","%26")," ","%20"),"#","%23"),CHAR(10),"%0A")&amp;"&amp;body="&amp;SUBSTITUTE(SUBSTITUTE(SUBSTITUTE(SUBSTITUTE(SUBSTITUTE("Ref: "&amp;A25&amp;CHAR(10)&amp;"Customer: "&amp;D25&amp;"  "&amp;E25&amp;CHAR(10)&amp;"Phone: "&amp;F25&amp;CHAR(10)&amp;"Email: "&amp;G25&amp;CHAR(10)&amp;"Prefers: "&amp;H25&amp;CHAR(10)&amp;"Enquiry: "&amp;LEFT(I25,600)&amp;CHAR(10)&amp;CHAR(10)&amp;"Sent from the Preston Mazda enquiry log.","%","%25"),"&amp;","%26")," ","%20"),"#","%23"),CHAR(10),"%0A"),"✉ Email parts"),"")</f>
        <v/>
      </c>
      <c r="U25" s="18" t="str">
        <f aca="false">IF(AND(N25="Yes",O25&lt;&gt;"Yes"),HYPERLINK("mailto:"&amp;Settings!$B$6&amp;"?subject="&amp;SUBSTITUTE(SUBSTITUTE(SUBSTITUTE(SUBSTITUTE(SUBSTITUTE("Customer contact required - "&amp;D25&amp;" "&amp;E25,"%","%25"),"&amp;","%26")," ","%20"),"#","%23"),CHAR(10),"%0A")&amp;"&amp;body="&amp;SUBSTITUTE(SUBSTITUTE(SUBSTITUTE(SUBSTITUTE(SUBSTITUTE("Ref: "&amp;A25&amp;CHAR(10)&amp;"Customer: "&amp;D25&amp;"  "&amp;E25&amp;CHAR(10)&amp;"Phone: "&amp;F25&amp;CHAR(10)&amp;"Email: "&amp;G25&amp;CHAR(10)&amp;"Prefers: "&amp;H25&amp;CHAR(10)&amp;"Enquiry: "&amp;LEFT(I25,600)&amp;CHAR(10)&amp;CHAR(10)&amp;"Sent from the Preston Mazda enquiry log.","%","%25"),"&amp;","%26")," ","%20"),"#","%23"),CHAR(10),"%0A"),"✉ Email advisors"),"")</f>
        <v/>
      </c>
      <c r="V25" s="18" t="str">
        <f aca="false">IF(OR(M25="",IFERROR(INDEX(Staff!$B$4:$B$33,MATCH(M25,Staff!$A$4:$A$33,0)),"")=""),"",HYPERLINK("mailto:"&amp;IFERROR(INDEX(Staff!$B$4:$B$33,MATCH(M25,Staff!$A$4:$A$33,0)),"")&amp;"?subject="&amp;SUBSTITUTE(SUBSTITUTE(SUBSTITUTE(SUBSTITUTE(SUBSTITUTE("Enquiry "&amp;A25&amp;" allocated to you - "&amp;D25,"%","%25"),"&amp;","%26")," ","%20"),"#","%23"),CHAR(10),"%0A")&amp;"&amp;body="&amp;SUBSTITUTE(SUBSTITUTE(SUBSTITUTE(SUBSTITUTE(SUBSTITUTE("Ref: "&amp;A25&amp;CHAR(10)&amp;"Customer: "&amp;D25&amp;"  "&amp;E25&amp;CHAR(10)&amp;"Phone: "&amp;F25&amp;CHAR(10)&amp;"Email: "&amp;G25&amp;CHAR(10)&amp;"Prefers: "&amp;H25&amp;CHAR(10)&amp;"Enquiry: "&amp;LEFT(I25,600)&amp;CHAR(10)&amp;CHAR(10)&amp;"Sent from the Preston Mazda enquiry log.","%","%25"),"&amp;","%26")," ","%20"),"#","%23"),CHAR(10),"%0A"),"✉ Email "&amp;M25))</f>
        <v/>
      </c>
      <c r="W25" s="18" t="str">
        <f aca="false">IF(OR(P25="",IFERROR(INDEX(Staff!$E$4:$E$33,MATCH(P25,Staff!$D$4:$D$33,0)),"")=""),"",HYPERLINK("mailto:"&amp;IFERROR(INDEX(Staff!$E$4:$E$33,MATCH(P25,Staff!$D$4:$D$33,0)),"")&amp;"?subject="&amp;SUBSTITUTE(SUBSTITUTE(SUBSTITUTE(SUBSTITUTE(SUBSTITUTE("Parts quote "&amp;A25&amp;" allocated to you - "&amp;D25,"%","%25"),"&amp;","%26")," ","%20"),"#","%23"),CHAR(10),"%0A")&amp;"&amp;body="&amp;SUBSTITUTE(SUBSTITUTE(SUBSTITUTE(SUBSTITUTE(SUBSTITUTE("Ref: "&amp;A25&amp;CHAR(10)&amp;"Customer: "&amp;D25&amp;"  "&amp;E25&amp;CHAR(10)&amp;"Phone: "&amp;F25&amp;CHAR(10)&amp;"Email: "&amp;G25&amp;CHAR(10)&amp;"Prefers: "&amp;H25&amp;CHAR(10)&amp;"Enquiry: "&amp;LEFT(I25,600)&amp;CHAR(10)&amp;CHAR(10)&amp;"Sent from the Preston Mazda enquiry log.","%","%25"),"&amp;","%26")," ","%20"),"#","%23"),CHAR(10),"%0A"),"✉ Email "&amp;P25))</f>
        <v/>
      </c>
    </row>
    <row r="26" customFormat="false" ht="15" hidden="false" customHeight="false" outlineLevel="0" collapsed="false">
      <c r="A26" s="10" t="str">
        <f aca="false">IF(D26="","","E-"&amp;TEXT(ROW()-3,"0000"))</f>
        <v/>
      </c>
      <c r="B26" s="11"/>
      <c r="C26" s="12"/>
      <c r="D26" s="13"/>
      <c r="E26" s="14"/>
      <c r="F26" s="12"/>
      <c r="G26" s="12"/>
      <c r="H26" s="15"/>
      <c r="I26" s="16"/>
      <c r="J26" s="17" t="str">
        <f aca="false">IF(D26="","",HYPERLINK(Settings!$B$7&amp;A26&amp;".pdf","Open "&amp;A26&amp;".pdf"))</f>
        <v/>
      </c>
      <c r="K26" s="16"/>
      <c r="L26" s="12"/>
      <c r="M26" s="12"/>
      <c r="N26" s="15"/>
      <c r="O26" s="15"/>
      <c r="P26" s="12"/>
      <c r="Q26" s="15"/>
      <c r="R26" s="15"/>
      <c r="S26" s="15" t="str">
        <f aca="false">IF(D26="","",IF(AND(O26="Yes",OR(Q26&lt;&gt;"Yes",R26="Yes")),"Complete","Open"))</f>
        <v/>
      </c>
      <c r="T26" s="18" t="str">
        <f aca="false">IF(AND(Q26="Yes",R26&lt;&gt;"Yes"),HYPERLINK("mailto:"&amp;Settings!$B$5&amp;"?subject="&amp;SUBSTITUTE(SUBSTITUTE(SUBSTITUTE(SUBSTITUTE(SUBSTITUTE("Parts quote required - "&amp;D26&amp;" "&amp;E26,"%","%25"),"&amp;","%26")," ","%20"),"#","%23"),CHAR(10),"%0A")&amp;"&amp;body="&amp;SUBSTITUTE(SUBSTITUTE(SUBSTITUTE(SUBSTITUTE(SUBSTITUTE("Ref: "&amp;A26&amp;CHAR(10)&amp;"Customer: "&amp;D26&amp;"  "&amp;E26&amp;CHAR(10)&amp;"Phone: "&amp;F26&amp;CHAR(10)&amp;"Email: "&amp;G26&amp;CHAR(10)&amp;"Prefers: "&amp;H26&amp;CHAR(10)&amp;"Enquiry: "&amp;LEFT(I26,600)&amp;CHAR(10)&amp;CHAR(10)&amp;"Sent from the Preston Mazda enquiry log.","%","%25"),"&amp;","%26")," ","%20"),"#","%23"),CHAR(10),"%0A"),"✉ Email parts"),"")</f>
        <v/>
      </c>
      <c r="U26" s="18" t="str">
        <f aca="false">IF(AND(N26="Yes",O26&lt;&gt;"Yes"),HYPERLINK("mailto:"&amp;Settings!$B$6&amp;"?subject="&amp;SUBSTITUTE(SUBSTITUTE(SUBSTITUTE(SUBSTITUTE(SUBSTITUTE("Customer contact required - "&amp;D26&amp;" "&amp;E26,"%","%25"),"&amp;","%26")," ","%20"),"#","%23"),CHAR(10),"%0A")&amp;"&amp;body="&amp;SUBSTITUTE(SUBSTITUTE(SUBSTITUTE(SUBSTITUTE(SUBSTITUTE("Ref: "&amp;A26&amp;CHAR(10)&amp;"Customer: "&amp;D26&amp;"  "&amp;E26&amp;CHAR(10)&amp;"Phone: "&amp;F26&amp;CHAR(10)&amp;"Email: "&amp;G26&amp;CHAR(10)&amp;"Prefers: "&amp;H26&amp;CHAR(10)&amp;"Enquiry: "&amp;LEFT(I26,600)&amp;CHAR(10)&amp;CHAR(10)&amp;"Sent from the Preston Mazda enquiry log.","%","%25"),"&amp;","%26")," ","%20"),"#","%23"),CHAR(10),"%0A"),"✉ Email advisors"),"")</f>
        <v/>
      </c>
      <c r="V26" s="18" t="str">
        <f aca="false">IF(OR(M26="",IFERROR(INDEX(Staff!$B$4:$B$33,MATCH(M26,Staff!$A$4:$A$33,0)),"")=""),"",HYPERLINK("mailto:"&amp;IFERROR(INDEX(Staff!$B$4:$B$33,MATCH(M26,Staff!$A$4:$A$33,0)),"")&amp;"?subject="&amp;SUBSTITUTE(SUBSTITUTE(SUBSTITUTE(SUBSTITUTE(SUBSTITUTE("Enquiry "&amp;A26&amp;" allocated to you - "&amp;D26,"%","%25"),"&amp;","%26")," ","%20"),"#","%23"),CHAR(10),"%0A")&amp;"&amp;body="&amp;SUBSTITUTE(SUBSTITUTE(SUBSTITUTE(SUBSTITUTE(SUBSTITUTE("Ref: "&amp;A26&amp;CHAR(10)&amp;"Customer: "&amp;D26&amp;"  "&amp;E26&amp;CHAR(10)&amp;"Phone: "&amp;F26&amp;CHAR(10)&amp;"Email: "&amp;G26&amp;CHAR(10)&amp;"Prefers: "&amp;H26&amp;CHAR(10)&amp;"Enquiry: "&amp;LEFT(I26,600)&amp;CHAR(10)&amp;CHAR(10)&amp;"Sent from the Preston Mazda enquiry log.","%","%25"),"&amp;","%26")," ","%20"),"#","%23"),CHAR(10),"%0A"),"✉ Email "&amp;M26))</f>
        <v/>
      </c>
      <c r="W26" s="18" t="str">
        <f aca="false">IF(OR(P26="",IFERROR(INDEX(Staff!$E$4:$E$33,MATCH(P26,Staff!$D$4:$D$33,0)),"")=""),"",HYPERLINK("mailto:"&amp;IFERROR(INDEX(Staff!$E$4:$E$33,MATCH(P26,Staff!$D$4:$D$33,0)),"")&amp;"?subject="&amp;SUBSTITUTE(SUBSTITUTE(SUBSTITUTE(SUBSTITUTE(SUBSTITUTE("Parts quote "&amp;A26&amp;" allocated to you - "&amp;D26,"%","%25"),"&amp;","%26")," ","%20"),"#","%23"),CHAR(10),"%0A")&amp;"&amp;body="&amp;SUBSTITUTE(SUBSTITUTE(SUBSTITUTE(SUBSTITUTE(SUBSTITUTE("Ref: "&amp;A26&amp;CHAR(10)&amp;"Customer: "&amp;D26&amp;"  "&amp;E26&amp;CHAR(10)&amp;"Phone: "&amp;F26&amp;CHAR(10)&amp;"Email: "&amp;G26&amp;CHAR(10)&amp;"Prefers: "&amp;H26&amp;CHAR(10)&amp;"Enquiry: "&amp;LEFT(I26,600)&amp;CHAR(10)&amp;CHAR(10)&amp;"Sent from the Preston Mazda enquiry log.","%","%25"),"&amp;","%26")," ","%20"),"#","%23"),CHAR(10),"%0A"),"✉ Email "&amp;P26))</f>
        <v/>
      </c>
    </row>
    <row r="27" customFormat="false" ht="15" hidden="false" customHeight="false" outlineLevel="0" collapsed="false">
      <c r="A27" s="10" t="str">
        <f aca="false">IF(D27="","","E-"&amp;TEXT(ROW()-3,"0000"))</f>
        <v/>
      </c>
      <c r="B27" s="11"/>
      <c r="C27" s="12"/>
      <c r="D27" s="13"/>
      <c r="E27" s="14"/>
      <c r="F27" s="12"/>
      <c r="G27" s="12"/>
      <c r="H27" s="15"/>
      <c r="I27" s="16"/>
      <c r="J27" s="17" t="str">
        <f aca="false">IF(D27="","",HYPERLINK(Settings!$B$7&amp;A27&amp;".pdf","Open "&amp;A27&amp;".pdf"))</f>
        <v/>
      </c>
      <c r="K27" s="16"/>
      <c r="L27" s="12"/>
      <c r="M27" s="12"/>
      <c r="N27" s="15"/>
      <c r="O27" s="15"/>
      <c r="P27" s="12"/>
      <c r="Q27" s="15"/>
      <c r="R27" s="15"/>
      <c r="S27" s="15" t="str">
        <f aca="false">IF(D27="","",IF(AND(O27="Yes",OR(Q27&lt;&gt;"Yes",R27="Yes")),"Complete","Open"))</f>
        <v/>
      </c>
      <c r="T27" s="18" t="str">
        <f aca="false">IF(AND(Q27="Yes",R27&lt;&gt;"Yes"),HYPERLINK("mailto:"&amp;Settings!$B$5&amp;"?subject="&amp;SUBSTITUTE(SUBSTITUTE(SUBSTITUTE(SUBSTITUTE(SUBSTITUTE("Parts quote required - "&amp;D27&amp;" "&amp;E27,"%","%25"),"&amp;","%26")," ","%20"),"#","%23"),CHAR(10),"%0A")&amp;"&amp;body="&amp;SUBSTITUTE(SUBSTITUTE(SUBSTITUTE(SUBSTITUTE(SUBSTITUTE("Ref: "&amp;A27&amp;CHAR(10)&amp;"Customer: "&amp;D27&amp;"  "&amp;E27&amp;CHAR(10)&amp;"Phone: "&amp;F27&amp;CHAR(10)&amp;"Email: "&amp;G27&amp;CHAR(10)&amp;"Prefers: "&amp;H27&amp;CHAR(10)&amp;"Enquiry: "&amp;LEFT(I27,600)&amp;CHAR(10)&amp;CHAR(10)&amp;"Sent from the Preston Mazda enquiry log.","%","%25"),"&amp;","%26")," ","%20"),"#","%23"),CHAR(10),"%0A"),"✉ Email parts"),"")</f>
        <v/>
      </c>
      <c r="U27" s="18" t="str">
        <f aca="false">IF(AND(N27="Yes",O27&lt;&gt;"Yes"),HYPERLINK("mailto:"&amp;Settings!$B$6&amp;"?subject="&amp;SUBSTITUTE(SUBSTITUTE(SUBSTITUTE(SUBSTITUTE(SUBSTITUTE("Customer contact required - "&amp;D27&amp;" "&amp;E27,"%","%25"),"&amp;","%26")," ","%20"),"#","%23"),CHAR(10),"%0A")&amp;"&amp;body="&amp;SUBSTITUTE(SUBSTITUTE(SUBSTITUTE(SUBSTITUTE(SUBSTITUTE("Ref: "&amp;A27&amp;CHAR(10)&amp;"Customer: "&amp;D27&amp;"  "&amp;E27&amp;CHAR(10)&amp;"Phone: "&amp;F27&amp;CHAR(10)&amp;"Email: "&amp;G27&amp;CHAR(10)&amp;"Prefers: "&amp;H27&amp;CHAR(10)&amp;"Enquiry: "&amp;LEFT(I27,600)&amp;CHAR(10)&amp;CHAR(10)&amp;"Sent from the Preston Mazda enquiry log.","%","%25"),"&amp;","%26")," ","%20"),"#","%23"),CHAR(10),"%0A"),"✉ Email advisors"),"")</f>
        <v/>
      </c>
      <c r="V27" s="18" t="str">
        <f aca="false">IF(OR(M27="",IFERROR(INDEX(Staff!$B$4:$B$33,MATCH(M27,Staff!$A$4:$A$33,0)),"")=""),"",HYPERLINK("mailto:"&amp;IFERROR(INDEX(Staff!$B$4:$B$33,MATCH(M27,Staff!$A$4:$A$33,0)),"")&amp;"?subject="&amp;SUBSTITUTE(SUBSTITUTE(SUBSTITUTE(SUBSTITUTE(SUBSTITUTE("Enquiry "&amp;A27&amp;" allocated to you - "&amp;D27,"%","%25"),"&amp;","%26")," ","%20"),"#","%23"),CHAR(10),"%0A")&amp;"&amp;body="&amp;SUBSTITUTE(SUBSTITUTE(SUBSTITUTE(SUBSTITUTE(SUBSTITUTE("Ref: "&amp;A27&amp;CHAR(10)&amp;"Customer: "&amp;D27&amp;"  "&amp;E27&amp;CHAR(10)&amp;"Phone: "&amp;F27&amp;CHAR(10)&amp;"Email: "&amp;G27&amp;CHAR(10)&amp;"Prefers: "&amp;H27&amp;CHAR(10)&amp;"Enquiry: "&amp;LEFT(I27,600)&amp;CHAR(10)&amp;CHAR(10)&amp;"Sent from the Preston Mazda enquiry log.","%","%25"),"&amp;","%26")," ","%20"),"#","%23"),CHAR(10),"%0A"),"✉ Email "&amp;M27))</f>
        <v/>
      </c>
      <c r="W27" s="18" t="str">
        <f aca="false">IF(OR(P27="",IFERROR(INDEX(Staff!$E$4:$E$33,MATCH(P27,Staff!$D$4:$D$33,0)),"")=""),"",HYPERLINK("mailto:"&amp;IFERROR(INDEX(Staff!$E$4:$E$33,MATCH(P27,Staff!$D$4:$D$33,0)),"")&amp;"?subject="&amp;SUBSTITUTE(SUBSTITUTE(SUBSTITUTE(SUBSTITUTE(SUBSTITUTE("Parts quote "&amp;A27&amp;" allocated to you - "&amp;D27,"%","%25"),"&amp;","%26")," ","%20"),"#","%23"),CHAR(10),"%0A")&amp;"&amp;body="&amp;SUBSTITUTE(SUBSTITUTE(SUBSTITUTE(SUBSTITUTE(SUBSTITUTE("Ref: "&amp;A27&amp;CHAR(10)&amp;"Customer: "&amp;D27&amp;"  "&amp;E27&amp;CHAR(10)&amp;"Phone: "&amp;F27&amp;CHAR(10)&amp;"Email: "&amp;G27&amp;CHAR(10)&amp;"Prefers: "&amp;H27&amp;CHAR(10)&amp;"Enquiry: "&amp;LEFT(I27,600)&amp;CHAR(10)&amp;CHAR(10)&amp;"Sent from the Preston Mazda enquiry log.","%","%25"),"&amp;","%26")," ","%20"),"#","%23"),CHAR(10),"%0A"),"✉ Email "&amp;P27))</f>
        <v/>
      </c>
    </row>
    <row r="28" customFormat="false" ht="15" hidden="false" customHeight="false" outlineLevel="0" collapsed="false">
      <c r="A28" s="10" t="str">
        <f aca="false">IF(D28="","","E-"&amp;TEXT(ROW()-3,"0000"))</f>
        <v/>
      </c>
      <c r="B28" s="11"/>
      <c r="C28" s="12"/>
      <c r="D28" s="13"/>
      <c r="E28" s="14"/>
      <c r="F28" s="12"/>
      <c r="G28" s="12"/>
      <c r="H28" s="15"/>
      <c r="I28" s="16"/>
      <c r="J28" s="17" t="str">
        <f aca="false">IF(D28="","",HYPERLINK(Settings!$B$7&amp;A28&amp;".pdf","Open "&amp;A28&amp;".pdf"))</f>
        <v/>
      </c>
      <c r="K28" s="16"/>
      <c r="L28" s="12"/>
      <c r="M28" s="12"/>
      <c r="N28" s="15"/>
      <c r="O28" s="15"/>
      <c r="P28" s="12"/>
      <c r="Q28" s="15"/>
      <c r="R28" s="15"/>
      <c r="S28" s="15" t="str">
        <f aca="false">IF(D28="","",IF(AND(O28="Yes",OR(Q28&lt;&gt;"Yes",R28="Yes")),"Complete","Open"))</f>
        <v/>
      </c>
      <c r="T28" s="18" t="str">
        <f aca="false">IF(AND(Q28="Yes",R28&lt;&gt;"Yes"),HYPERLINK("mailto:"&amp;Settings!$B$5&amp;"?subject="&amp;SUBSTITUTE(SUBSTITUTE(SUBSTITUTE(SUBSTITUTE(SUBSTITUTE("Parts quote required - "&amp;D28&amp;" "&amp;E28,"%","%25"),"&amp;","%26")," ","%20"),"#","%23"),CHAR(10),"%0A")&amp;"&amp;body="&amp;SUBSTITUTE(SUBSTITUTE(SUBSTITUTE(SUBSTITUTE(SUBSTITUTE("Ref: "&amp;A28&amp;CHAR(10)&amp;"Customer: "&amp;D28&amp;"  "&amp;E28&amp;CHAR(10)&amp;"Phone: "&amp;F28&amp;CHAR(10)&amp;"Email: "&amp;G28&amp;CHAR(10)&amp;"Prefers: "&amp;H28&amp;CHAR(10)&amp;"Enquiry: "&amp;LEFT(I28,600)&amp;CHAR(10)&amp;CHAR(10)&amp;"Sent from the Preston Mazda enquiry log.","%","%25"),"&amp;","%26")," ","%20"),"#","%23"),CHAR(10),"%0A"),"✉ Email parts"),"")</f>
        <v/>
      </c>
      <c r="U28" s="18" t="str">
        <f aca="false">IF(AND(N28="Yes",O28&lt;&gt;"Yes"),HYPERLINK("mailto:"&amp;Settings!$B$6&amp;"?subject="&amp;SUBSTITUTE(SUBSTITUTE(SUBSTITUTE(SUBSTITUTE(SUBSTITUTE("Customer contact required - "&amp;D28&amp;" "&amp;E28,"%","%25"),"&amp;","%26")," ","%20"),"#","%23"),CHAR(10),"%0A")&amp;"&amp;body="&amp;SUBSTITUTE(SUBSTITUTE(SUBSTITUTE(SUBSTITUTE(SUBSTITUTE("Ref: "&amp;A28&amp;CHAR(10)&amp;"Customer: "&amp;D28&amp;"  "&amp;E28&amp;CHAR(10)&amp;"Phone: "&amp;F28&amp;CHAR(10)&amp;"Email: "&amp;G28&amp;CHAR(10)&amp;"Prefers: "&amp;H28&amp;CHAR(10)&amp;"Enquiry: "&amp;LEFT(I28,600)&amp;CHAR(10)&amp;CHAR(10)&amp;"Sent from the Preston Mazda enquiry log.","%","%25"),"&amp;","%26")," ","%20"),"#","%23"),CHAR(10),"%0A"),"✉ Email advisors"),"")</f>
        <v/>
      </c>
      <c r="V28" s="18" t="str">
        <f aca="false">IF(OR(M28="",IFERROR(INDEX(Staff!$B$4:$B$33,MATCH(M28,Staff!$A$4:$A$33,0)),"")=""),"",HYPERLINK("mailto:"&amp;IFERROR(INDEX(Staff!$B$4:$B$33,MATCH(M28,Staff!$A$4:$A$33,0)),"")&amp;"?subject="&amp;SUBSTITUTE(SUBSTITUTE(SUBSTITUTE(SUBSTITUTE(SUBSTITUTE("Enquiry "&amp;A28&amp;" allocated to you - "&amp;D28,"%","%25"),"&amp;","%26")," ","%20"),"#","%23"),CHAR(10),"%0A")&amp;"&amp;body="&amp;SUBSTITUTE(SUBSTITUTE(SUBSTITUTE(SUBSTITUTE(SUBSTITUTE("Ref: "&amp;A28&amp;CHAR(10)&amp;"Customer: "&amp;D28&amp;"  "&amp;E28&amp;CHAR(10)&amp;"Phone: "&amp;F28&amp;CHAR(10)&amp;"Email: "&amp;G28&amp;CHAR(10)&amp;"Prefers: "&amp;H28&amp;CHAR(10)&amp;"Enquiry: "&amp;LEFT(I28,600)&amp;CHAR(10)&amp;CHAR(10)&amp;"Sent from the Preston Mazda enquiry log.","%","%25"),"&amp;","%26")," ","%20"),"#","%23"),CHAR(10),"%0A"),"✉ Email "&amp;M28))</f>
        <v/>
      </c>
      <c r="W28" s="18" t="str">
        <f aca="false">IF(OR(P28="",IFERROR(INDEX(Staff!$E$4:$E$33,MATCH(P28,Staff!$D$4:$D$33,0)),"")=""),"",HYPERLINK("mailto:"&amp;IFERROR(INDEX(Staff!$E$4:$E$33,MATCH(P28,Staff!$D$4:$D$33,0)),"")&amp;"?subject="&amp;SUBSTITUTE(SUBSTITUTE(SUBSTITUTE(SUBSTITUTE(SUBSTITUTE("Parts quote "&amp;A28&amp;" allocated to you - "&amp;D28,"%","%25"),"&amp;","%26")," ","%20"),"#","%23"),CHAR(10),"%0A")&amp;"&amp;body="&amp;SUBSTITUTE(SUBSTITUTE(SUBSTITUTE(SUBSTITUTE(SUBSTITUTE("Ref: "&amp;A28&amp;CHAR(10)&amp;"Customer: "&amp;D28&amp;"  "&amp;E28&amp;CHAR(10)&amp;"Phone: "&amp;F28&amp;CHAR(10)&amp;"Email: "&amp;G28&amp;CHAR(10)&amp;"Prefers: "&amp;H28&amp;CHAR(10)&amp;"Enquiry: "&amp;LEFT(I28,600)&amp;CHAR(10)&amp;CHAR(10)&amp;"Sent from the Preston Mazda enquiry log.","%","%25"),"&amp;","%26")," ","%20"),"#","%23"),CHAR(10),"%0A"),"✉ Email "&amp;P28))</f>
        <v/>
      </c>
    </row>
    <row r="29" customFormat="false" ht="15" hidden="false" customHeight="false" outlineLevel="0" collapsed="false">
      <c r="A29" s="10" t="str">
        <f aca="false">IF(D29="","","E-"&amp;TEXT(ROW()-3,"0000"))</f>
        <v/>
      </c>
      <c r="B29" s="11"/>
      <c r="C29" s="12"/>
      <c r="D29" s="13"/>
      <c r="E29" s="14"/>
      <c r="F29" s="12"/>
      <c r="G29" s="12"/>
      <c r="H29" s="15"/>
      <c r="I29" s="16"/>
      <c r="J29" s="17" t="str">
        <f aca="false">IF(D29="","",HYPERLINK(Settings!$B$7&amp;A29&amp;".pdf","Open "&amp;A29&amp;".pdf"))</f>
        <v/>
      </c>
      <c r="K29" s="16"/>
      <c r="L29" s="12"/>
      <c r="M29" s="12"/>
      <c r="N29" s="15"/>
      <c r="O29" s="15"/>
      <c r="P29" s="12"/>
      <c r="Q29" s="15"/>
      <c r="R29" s="15"/>
      <c r="S29" s="15" t="str">
        <f aca="false">IF(D29="","",IF(AND(O29="Yes",OR(Q29&lt;&gt;"Yes",R29="Yes")),"Complete","Open"))</f>
        <v/>
      </c>
      <c r="T29" s="18" t="str">
        <f aca="false">IF(AND(Q29="Yes",R29&lt;&gt;"Yes"),HYPERLINK("mailto:"&amp;Settings!$B$5&amp;"?subject="&amp;SUBSTITUTE(SUBSTITUTE(SUBSTITUTE(SUBSTITUTE(SUBSTITUTE("Parts quote required - "&amp;D29&amp;" "&amp;E29,"%","%25"),"&amp;","%26")," ","%20"),"#","%23"),CHAR(10),"%0A")&amp;"&amp;body="&amp;SUBSTITUTE(SUBSTITUTE(SUBSTITUTE(SUBSTITUTE(SUBSTITUTE("Ref: "&amp;A29&amp;CHAR(10)&amp;"Customer: "&amp;D29&amp;"  "&amp;E29&amp;CHAR(10)&amp;"Phone: "&amp;F29&amp;CHAR(10)&amp;"Email: "&amp;G29&amp;CHAR(10)&amp;"Prefers: "&amp;H29&amp;CHAR(10)&amp;"Enquiry: "&amp;LEFT(I29,600)&amp;CHAR(10)&amp;CHAR(10)&amp;"Sent from the Preston Mazda enquiry log.","%","%25"),"&amp;","%26")," ","%20"),"#","%23"),CHAR(10),"%0A"),"✉ Email parts"),"")</f>
        <v/>
      </c>
      <c r="U29" s="18" t="str">
        <f aca="false">IF(AND(N29="Yes",O29&lt;&gt;"Yes"),HYPERLINK("mailto:"&amp;Settings!$B$6&amp;"?subject="&amp;SUBSTITUTE(SUBSTITUTE(SUBSTITUTE(SUBSTITUTE(SUBSTITUTE("Customer contact required - "&amp;D29&amp;" "&amp;E29,"%","%25"),"&amp;","%26")," ","%20"),"#","%23"),CHAR(10),"%0A")&amp;"&amp;body="&amp;SUBSTITUTE(SUBSTITUTE(SUBSTITUTE(SUBSTITUTE(SUBSTITUTE("Ref: "&amp;A29&amp;CHAR(10)&amp;"Customer: "&amp;D29&amp;"  "&amp;E29&amp;CHAR(10)&amp;"Phone: "&amp;F29&amp;CHAR(10)&amp;"Email: "&amp;G29&amp;CHAR(10)&amp;"Prefers: "&amp;H29&amp;CHAR(10)&amp;"Enquiry: "&amp;LEFT(I29,600)&amp;CHAR(10)&amp;CHAR(10)&amp;"Sent from the Preston Mazda enquiry log.","%","%25"),"&amp;","%26")," ","%20"),"#","%23"),CHAR(10),"%0A"),"✉ Email advisors"),"")</f>
        <v/>
      </c>
      <c r="V29" s="18" t="str">
        <f aca="false">IF(OR(M29="",IFERROR(INDEX(Staff!$B$4:$B$33,MATCH(M29,Staff!$A$4:$A$33,0)),"")=""),"",HYPERLINK("mailto:"&amp;IFERROR(INDEX(Staff!$B$4:$B$33,MATCH(M29,Staff!$A$4:$A$33,0)),"")&amp;"?subject="&amp;SUBSTITUTE(SUBSTITUTE(SUBSTITUTE(SUBSTITUTE(SUBSTITUTE("Enquiry "&amp;A29&amp;" allocated to you - "&amp;D29,"%","%25"),"&amp;","%26")," ","%20"),"#","%23"),CHAR(10),"%0A")&amp;"&amp;body="&amp;SUBSTITUTE(SUBSTITUTE(SUBSTITUTE(SUBSTITUTE(SUBSTITUTE("Ref: "&amp;A29&amp;CHAR(10)&amp;"Customer: "&amp;D29&amp;"  "&amp;E29&amp;CHAR(10)&amp;"Phone: "&amp;F29&amp;CHAR(10)&amp;"Email: "&amp;G29&amp;CHAR(10)&amp;"Prefers: "&amp;H29&amp;CHAR(10)&amp;"Enquiry: "&amp;LEFT(I29,600)&amp;CHAR(10)&amp;CHAR(10)&amp;"Sent from the Preston Mazda enquiry log.","%","%25"),"&amp;","%26")," ","%20"),"#","%23"),CHAR(10),"%0A"),"✉ Email "&amp;M29))</f>
        <v/>
      </c>
      <c r="W29" s="18" t="str">
        <f aca="false">IF(OR(P29="",IFERROR(INDEX(Staff!$E$4:$E$33,MATCH(P29,Staff!$D$4:$D$33,0)),"")=""),"",HYPERLINK("mailto:"&amp;IFERROR(INDEX(Staff!$E$4:$E$33,MATCH(P29,Staff!$D$4:$D$33,0)),"")&amp;"?subject="&amp;SUBSTITUTE(SUBSTITUTE(SUBSTITUTE(SUBSTITUTE(SUBSTITUTE("Parts quote "&amp;A29&amp;" allocated to you - "&amp;D29,"%","%25"),"&amp;","%26")," ","%20"),"#","%23"),CHAR(10),"%0A")&amp;"&amp;body="&amp;SUBSTITUTE(SUBSTITUTE(SUBSTITUTE(SUBSTITUTE(SUBSTITUTE("Ref: "&amp;A29&amp;CHAR(10)&amp;"Customer: "&amp;D29&amp;"  "&amp;E29&amp;CHAR(10)&amp;"Phone: "&amp;F29&amp;CHAR(10)&amp;"Email: "&amp;G29&amp;CHAR(10)&amp;"Prefers: "&amp;H29&amp;CHAR(10)&amp;"Enquiry: "&amp;LEFT(I29,600)&amp;CHAR(10)&amp;CHAR(10)&amp;"Sent from the Preston Mazda enquiry log.","%","%25"),"&amp;","%26")," ","%20"),"#","%23"),CHAR(10),"%0A"),"✉ Email "&amp;P29))</f>
        <v/>
      </c>
    </row>
    <row r="30" customFormat="false" ht="15" hidden="false" customHeight="false" outlineLevel="0" collapsed="false">
      <c r="A30" s="10" t="str">
        <f aca="false">IF(D30="","","E-"&amp;TEXT(ROW()-3,"0000"))</f>
        <v/>
      </c>
      <c r="B30" s="11"/>
      <c r="C30" s="12"/>
      <c r="D30" s="13"/>
      <c r="E30" s="14"/>
      <c r="F30" s="12"/>
      <c r="G30" s="12"/>
      <c r="H30" s="15"/>
      <c r="I30" s="16"/>
      <c r="J30" s="17" t="str">
        <f aca="false">IF(D30="","",HYPERLINK(Settings!$B$7&amp;A30&amp;".pdf","Open "&amp;A30&amp;".pdf"))</f>
        <v/>
      </c>
      <c r="K30" s="16"/>
      <c r="L30" s="12"/>
      <c r="M30" s="12"/>
      <c r="N30" s="15"/>
      <c r="O30" s="15"/>
      <c r="P30" s="12"/>
      <c r="Q30" s="15"/>
      <c r="R30" s="15"/>
      <c r="S30" s="15" t="str">
        <f aca="false">IF(D30="","",IF(AND(O30="Yes",OR(Q30&lt;&gt;"Yes",R30="Yes")),"Complete","Open"))</f>
        <v/>
      </c>
      <c r="T30" s="18" t="str">
        <f aca="false">IF(AND(Q30="Yes",R30&lt;&gt;"Yes"),HYPERLINK("mailto:"&amp;Settings!$B$5&amp;"?subject="&amp;SUBSTITUTE(SUBSTITUTE(SUBSTITUTE(SUBSTITUTE(SUBSTITUTE("Parts quote required - "&amp;D30&amp;" "&amp;E30,"%","%25"),"&amp;","%26")," ","%20"),"#","%23"),CHAR(10),"%0A")&amp;"&amp;body="&amp;SUBSTITUTE(SUBSTITUTE(SUBSTITUTE(SUBSTITUTE(SUBSTITUTE("Ref: "&amp;A30&amp;CHAR(10)&amp;"Customer: "&amp;D30&amp;"  "&amp;E30&amp;CHAR(10)&amp;"Phone: "&amp;F30&amp;CHAR(10)&amp;"Email: "&amp;G30&amp;CHAR(10)&amp;"Prefers: "&amp;H30&amp;CHAR(10)&amp;"Enquiry: "&amp;LEFT(I30,600)&amp;CHAR(10)&amp;CHAR(10)&amp;"Sent from the Preston Mazda enquiry log.","%","%25"),"&amp;","%26")," ","%20"),"#","%23"),CHAR(10),"%0A"),"✉ Email parts"),"")</f>
        <v/>
      </c>
      <c r="U30" s="18" t="str">
        <f aca="false">IF(AND(N30="Yes",O30&lt;&gt;"Yes"),HYPERLINK("mailto:"&amp;Settings!$B$6&amp;"?subject="&amp;SUBSTITUTE(SUBSTITUTE(SUBSTITUTE(SUBSTITUTE(SUBSTITUTE("Customer contact required - "&amp;D30&amp;" "&amp;E30,"%","%25"),"&amp;","%26")," ","%20"),"#","%23"),CHAR(10),"%0A")&amp;"&amp;body="&amp;SUBSTITUTE(SUBSTITUTE(SUBSTITUTE(SUBSTITUTE(SUBSTITUTE("Ref: "&amp;A30&amp;CHAR(10)&amp;"Customer: "&amp;D30&amp;"  "&amp;E30&amp;CHAR(10)&amp;"Phone: "&amp;F30&amp;CHAR(10)&amp;"Email: "&amp;G30&amp;CHAR(10)&amp;"Prefers: "&amp;H30&amp;CHAR(10)&amp;"Enquiry: "&amp;LEFT(I30,600)&amp;CHAR(10)&amp;CHAR(10)&amp;"Sent from the Preston Mazda enquiry log.","%","%25"),"&amp;","%26")," ","%20"),"#","%23"),CHAR(10),"%0A"),"✉ Email advisors"),"")</f>
        <v/>
      </c>
      <c r="V30" s="18" t="str">
        <f aca="false">IF(OR(M30="",IFERROR(INDEX(Staff!$B$4:$B$33,MATCH(M30,Staff!$A$4:$A$33,0)),"")=""),"",HYPERLINK("mailto:"&amp;IFERROR(INDEX(Staff!$B$4:$B$33,MATCH(M30,Staff!$A$4:$A$33,0)),"")&amp;"?subject="&amp;SUBSTITUTE(SUBSTITUTE(SUBSTITUTE(SUBSTITUTE(SUBSTITUTE("Enquiry "&amp;A30&amp;" allocated to you - "&amp;D30,"%","%25"),"&amp;","%26")," ","%20"),"#","%23"),CHAR(10),"%0A")&amp;"&amp;body="&amp;SUBSTITUTE(SUBSTITUTE(SUBSTITUTE(SUBSTITUTE(SUBSTITUTE("Ref: "&amp;A30&amp;CHAR(10)&amp;"Customer: "&amp;D30&amp;"  "&amp;E30&amp;CHAR(10)&amp;"Phone: "&amp;F30&amp;CHAR(10)&amp;"Email: "&amp;G30&amp;CHAR(10)&amp;"Prefers: "&amp;H30&amp;CHAR(10)&amp;"Enquiry: "&amp;LEFT(I30,600)&amp;CHAR(10)&amp;CHAR(10)&amp;"Sent from the Preston Mazda enquiry log.","%","%25"),"&amp;","%26")," ","%20"),"#","%23"),CHAR(10),"%0A"),"✉ Email "&amp;M30))</f>
        <v/>
      </c>
      <c r="W30" s="18" t="str">
        <f aca="false">IF(OR(P30="",IFERROR(INDEX(Staff!$E$4:$E$33,MATCH(P30,Staff!$D$4:$D$33,0)),"")=""),"",HYPERLINK("mailto:"&amp;IFERROR(INDEX(Staff!$E$4:$E$33,MATCH(P30,Staff!$D$4:$D$33,0)),"")&amp;"?subject="&amp;SUBSTITUTE(SUBSTITUTE(SUBSTITUTE(SUBSTITUTE(SUBSTITUTE("Parts quote "&amp;A30&amp;" allocated to you - "&amp;D30,"%","%25"),"&amp;","%26")," ","%20"),"#","%23"),CHAR(10),"%0A")&amp;"&amp;body="&amp;SUBSTITUTE(SUBSTITUTE(SUBSTITUTE(SUBSTITUTE(SUBSTITUTE("Ref: "&amp;A30&amp;CHAR(10)&amp;"Customer: "&amp;D30&amp;"  "&amp;E30&amp;CHAR(10)&amp;"Phone: "&amp;F30&amp;CHAR(10)&amp;"Email: "&amp;G30&amp;CHAR(10)&amp;"Prefers: "&amp;H30&amp;CHAR(10)&amp;"Enquiry: "&amp;LEFT(I30,600)&amp;CHAR(10)&amp;CHAR(10)&amp;"Sent from the Preston Mazda enquiry log.","%","%25"),"&amp;","%26")," ","%20"),"#","%23"),CHAR(10),"%0A"),"✉ Email "&amp;P30))</f>
        <v/>
      </c>
    </row>
    <row r="31" customFormat="false" ht="15" hidden="false" customHeight="false" outlineLevel="0" collapsed="false">
      <c r="A31" s="10" t="str">
        <f aca="false">IF(D31="","","E-"&amp;TEXT(ROW()-3,"0000"))</f>
        <v/>
      </c>
      <c r="B31" s="11"/>
      <c r="C31" s="12"/>
      <c r="D31" s="13"/>
      <c r="E31" s="14"/>
      <c r="F31" s="12"/>
      <c r="G31" s="12"/>
      <c r="H31" s="15"/>
      <c r="I31" s="16"/>
      <c r="J31" s="17" t="str">
        <f aca="false">IF(D31="","",HYPERLINK(Settings!$B$7&amp;A31&amp;".pdf","Open "&amp;A31&amp;".pdf"))</f>
        <v/>
      </c>
      <c r="K31" s="16"/>
      <c r="L31" s="12"/>
      <c r="M31" s="12"/>
      <c r="N31" s="15"/>
      <c r="O31" s="15"/>
      <c r="P31" s="12"/>
      <c r="Q31" s="15"/>
      <c r="R31" s="15"/>
      <c r="S31" s="15" t="str">
        <f aca="false">IF(D31="","",IF(AND(O31="Yes",OR(Q31&lt;&gt;"Yes",R31="Yes")),"Complete","Open"))</f>
        <v/>
      </c>
      <c r="T31" s="18" t="str">
        <f aca="false">IF(AND(Q31="Yes",R31&lt;&gt;"Yes"),HYPERLINK("mailto:"&amp;Settings!$B$5&amp;"?subject="&amp;SUBSTITUTE(SUBSTITUTE(SUBSTITUTE(SUBSTITUTE(SUBSTITUTE("Parts quote required - "&amp;D31&amp;" "&amp;E31,"%","%25"),"&amp;","%26")," ","%20"),"#","%23"),CHAR(10),"%0A")&amp;"&amp;body="&amp;SUBSTITUTE(SUBSTITUTE(SUBSTITUTE(SUBSTITUTE(SUBSTITUTE("Ref: "&amp;A31&amp;CHAR(10)&amp;"Customer: "&amp;D31&amp;"  "&amp;E31&amp;CHAR(10)&amp;"Phone: "&amp;F31&amp;CHAR(10)&amp;"Email: "&amp;G31&amp;CHAR(10)&amp;"Prefers: "&amp;H31&amp;CHAR(10)&amp;"Enquiry: "&amp;LEFT(I31,600)&amp;CHAR(10)&amp;CHAR(10)&amp;"Sent from the Preston Mazda enquiry log.","%","%25"),"&amp;","%26")," ","%20"),"#","%23"),CHAR(10),"%0A"),"✉ Email parts"),"")</f>
        <v/>
      </c>
      <c r="U31" s="18" t="str">
        <f aca="false">IF(AND(N31="Yes",O31&lt;&gt;"Yes"),HYPERLINK("mailto:"&amp;Settings!$B$6&amp;"?subject="&amp;SUBSTITUTE(SUBSTITUTE(SUBSTITUTE(SUBSTITUTE(SUBSTITUTE("Customer contact required - "&amp;D31&amp;" "&amp;E31,"%","%25"),"&amp;","%26")," ","%20"),"#","%23"),CHAR(10),"%0A")&amp;"&amp;body="&amp;SUBSTITUTE(SUBSTITUTE(SUBSTITUTE(SUBSTITUTE(SUBSTITUTE("Ref: "&amp;A31&amp;CHAR(10)&amp;"Customer: "&amp;D31&amp;"  "&amp;E31&amp;CHAR(10)&amp;"Phone: "&amp;F31&amp;CHAR(10)&amp;"Email: "&amp;G31&amp;CHAR(10)&amp;"Prefers: "&amp;H31&amp;CHAR(10)&amp;"Enquiry: "&amp;LEFT(I31,600)&amp;CHAR(10)&amp;CHAR(10)&amp;"Sent from the Preston Mazda enquiry log.","%","%25"),"&amp;","%26")," ","%20"),"#","%23"),CHAR(10),"%0A"),"✉ Email advisors"),"")</f>
        <v/>
      </c>
      <c r="V31" s="18" t="str">
        <f aca="false">IF(OR(M31="",IFERROR(INDEX(Staff!$B$4:$B$33,MATCH(M31,Staff!$A$4:$A$33,0)),"")=""),"",HYPERLINK("mailto:"&amp;IFERROR(INDEX(Staff!$B$4:$B$33,MATCH(M31,Staff!$A$4:$A$33,0)),"")&amp;"?subject="&amp;SUBSTITUTE(SUBSTITUTE(SUBSTITUTE(SUBSTITUTE(SUBSTITUTE("Enquiry "&amp;A31&amp;" allocated to you - "&amp;D31,"%","%25"),"&amp;","%26")," ","%20"),"#","%23"),CHAR(10),"%0A")&amp;"&amp;body="&amp;SUBSTITUTE(SUBSTITUTE(SUBSTITUTE(SUBSTITUTE(SUBSTITUTE("Ref: "&amp;A31&amp;CHAR(10)&amp;"Customer: "&amp;D31&amp;"  "&amp;E31&amp;CHAR(10)&amp;"Phone: "&amp;F31&amp;CHAR(10)&amp;"Email: "&amp;G31&amp;CHAR(10)&amp;"Prefers: "&amp;H31&amp;CHAR(10)&amp;"Enquiry: "&amp;LEFT(I31,600)&amp;CHAR(10)&amp;CHAR(10)&amp;"Sent from the Preston Mazda enquiry log.","%","%25"),"&amp;","%26")," ","%20"),"#","%23"),CHAR(10),"%0A"),"✉ Email "&amp;M31))</f>
        <v/>
      </c>
      <c r="W31" s="18" t="str">
        <f aca="false">IF(OR(P31="",IFERROR(INDEX(Staff!$E$4:$E$33,MATCH(P31,Staff!$D$4:$D$33,0)),"")=""),"",HYPERLINK("mailto:"&amp;IFERROR(INDEX(Staff!$E$4:$E$33,MATCH(P31,Staff!$D$4:$D$33,0)),"")&amp;"?subject="&amp;SUBSTITUTE(SUBSTITUTE(SUBSTITUTE(SUBSTITUTE(SUBSTITUTE("Parts quote "&amp;A31&amp;" allocated to you - "&amp;D31,"%","%25"),"&amp;","%26")," ","%20"),"#","%23"),CHAR(10),"%0A")&amp;"&amp;body="&amp;SUBSTITUTE(SUBSTITUTE(SUBSTITUTE(SUBSTITUTE(SUBSTITUTE("Ref: "&amp;A31&amp;CHAR(10)&amp;"Customer: "&amp;D31&amp;"  "&amp;E31&amp;CHAR(10)&amp;"Phone: "&amp;F31&amp;CHAR(10)&amp;"Email: "&amp;G31&amp;CHAR(10)&amp;"Prefers: "&amp;H31&amp;CHAR(10)&amp;"Enquiry: "&amp;LEFT(I31,600)&amp;CHAR(10)&amp;CHAR(10)&amp;"Sent from the Preston Mazda enquiry log.","%","%25"),"&amp;","%26")," ","%20"),"#","%23"),CHAR(10),"%0A"),"✉ Email "&amp;P31))</f>
        <v/>
      </c>
    </row>
    <row r="32" customFormat="false" ht="15" hidden="false" customHeight="false" outlineLevel="0" collapsed="false">
      <c r="A32" s="10" t="str">
        <f aca="false">IF(D32="","","E-"&amp;TEXT(ROW()-3,"0000"))</f>
        <v/>
      </c>
      <c r="B32" s="11"/>
      <c r="C32" s="12"/>
      <c r="D32" s="13"/>
      <c r="E32" s="14"/>
      <c r="F32" s="12"/>
      <c r="G32" s="12"/>
      <c r="H32" s="15"/>
      <c r="I32" s="16"/>
      <c r="J32" s="17" t="str">
        <f aca="false">IF(D32="","",HYPERLINK(Settings!$B$7&amp;A32&amp;".pdf","Open "&amp;A32&amp;".pdf"))</f>
        <v/>
      </c>
      <c r="K32" s="16"/>
      <c r="L32" s="12"/>
      <c r="M32" s="12"/>
      <c r="N32" s="15"/>
      <c r="O32" s="15"/>
      <c r="P32" s="12"/>
      <c r="Q32" s="15"/>
      <c r="R32" s="15"/>
      <c r="S32" s="15" t="str">
        <f aca="false">IF(D32="","",IF(AND(O32="Yes",OR(Q32&lt;&gt;"Yes",R32="Yes")),"Complete","Open"))</f>
        <v/>
      </c>
      <c r="T32" s="18" t="str">
        <f aca="false">IF(AND(Q32="Yes",R32&lt;&gt;"Yes"),HYPERLINK("mailto:"&amp;Settings!$B$5&amp;"?subject="&amp;SUBSTITUTE(SUBSTITUTE(SUBSTITUTE(SUBSTITUTE(SUBSTITUTE("Parts quote required - "&amp;D32&amp;" "&amp;E32,"%","%25"),"&amp;","%26")," ","%20"),"#","%23"),CHAR(10),"%0A")&amp;"&amp;body="&amp;SUBSTITUTE(SUBSTITUTE(SUBSTITUTE(SUBSTITUTE(SUBSTITUTE("Ref: "&amp;A32&amp;CHAR(10)&amp;"Customer: "&amp;D32&amp;"  "&amp;E32&amp;CHAR(10)&amp;"Phone: "&amp;F32&amp;CHAR(10)&amp;"Email: "&amp;G32&amp;CHAR(10)&amp;"Prefers: "&amp;H32&amp;CHAR(10)&amp;"Enquiry: "&amp;LEFT(I32,600)&amp;CHAR(10)&amp;CHAR(10)&amp;"Sent from the Preston Mazda enquiry log.","%","%25"),"&amp;","%26")," ","%20"),"#","%23"),CHAR(10),"%0A"),"✉ Email parts"),"")</f>
        <v/>
      </c>
      <c r="U32" s="18" t="str">
        <f aca="false">IF(AND(N32="Yes",O32&lt;&gt;"Yes"),HYPERLINK("mailto:"&amp;Settings!$B$6&amp;"?subject="&amp;SUBSTITUTE(SUBSTITUTE(SUBSTITUTE(SUBSTITUTE(SUBSTITUTE("Customer contact required - "&amp;D32&amp;" "&amp;E32,"%","%25"),"&amp;","%26")," ","%20"),"#","%23"),CHAR(10),"%0A")&amp;"&amp;body="&amp;SUBSTITUTE(SUBSTITUTE(SUBSTITUTE(SUBSTITUTE(SUBSTITUTE("Ref: "&amp;A32&amp;CHAR(10)&amp;"Customer: "&amp;D32&amp;"  "&amp;E32&amp;CHAR(10)&amp;"Phone: "&amp;F32&amp;CHAR(10)&amp;"Email: "&amp;G32&amp;CHAR(10)&amp;"Prefers: "&amp;H32&amp;CHAR(10)&amp;"Enquiry: "&amp;LEFT(I32,600)&amp;CHAR(10)&amp;CHAR(10)&amp;"Sent from the Preston Mazda enquiry log.","%","%25"),"&amp;","%26")," ","%20"),"#","%23"),CHAR(10),"%0A"),"✉ Email advisors"),"")</f>
        <v/>
      </c>
      <c r="V32" s="18" t="str">
        <f aca="false">IF(OR(M32="",IFERROR(INDEX(Staff!$B$4:$B$33,MATCH(M32,Staff!$A$4:$A$33,0)),"")=""),"",HYPERLINK("mailto:"&amp;IFERROR(INDEX(Staff!$B$4:$B$33,MATCH(M32,Staff!$A$4:$A$33,0)),"")&amp;"?subject="&amp;SUBSTITUTE(SUBSTITUTE(SUBSTITUTE(SUBSTITUTE(SUBSTITUTE("Enquiry "&amp;A32&amp;" allocated to you - "&amp;D32,"%","%25"),"&amp;","%26")," ","%20"),"#","%23"),CHAR(10),"%0A")&amp;"&amp;body="&amp;SUBSTITUTE(SUBSTITUTE(SUBSTITUTE(SUBSTITUTE(SUBSTITUTE("Ref: "&amp;A32&amp;CHAR(10)&amp;"Customer: "&amp;D32&amp;"  "&amp;E32&amp;CHAR(10)&amp;"Phone: "&amp;F32&amp;CHAR(10)&amp;"Email: "&amp;G32&amp;CHAR(10)&amp;"Prefers: "&amp;H32&amp;CHAR(10)&amp;"Enquiry: "&amp;LEFT(I32,600)&amp;CHAR(10)&amp;CHAR(10)&amp;"Sent from the Preston Mazda enquiry log.","%","%25"),"&amp;","%26")," ","%20"),"#","%23"),CHAR(10),"%0A"),"✉ Email "&amp;M32))</f>
        <v/>
      </c>
      <c r="W32" s="18" t="str">
        <f aca="false">IF(OR(P32="",IFERROR(INDEX(Staff!$E$4:$E$33,MATCH(P32,Staff!$D$4:$D$33,0)),"")=""),"",HYPERLINK("mailto:"&amp;IFERROR(INDEX(Staff!$E$4:$E$33,MATCH(P32,Staff!$D$4:$D$33,0)),"")&amp;"?subject="&amp;SUBSTITUTE(SUBSTITUTE(SUBSTITUTE(SUBSTITUTE(SUBSTITUTE("Parts quote "&amp;A32&amp;" allocated to you - "&amp;D32,"%","%25"),"&amp;","%26")," ","%20"),"#","%23"),CHAR(10),"%0A")&amp;"&amp;body="&amp;SUBSTITUTE(SUBSTITUTE(SUBSTITUTE(SUBSTITUTE(SUBSTITUTE("Ref: "&amp;A32&amp;CHAR(10)&amp;"Customer: "&amp;D32&amp;"  "&amp;E32&amp;CHAR(10)&amp;"Phone: "&amp;F32&amp;CHAR(10)&amp;"Email: "&amp;G32&amp;CHAR(10)&amp;"Prefers: "&amp;H32&amp;CHAR(10)&amp;"Enquiry: "&amp;LEFT(I32,600)&amp;CHAR(10)&amp;CHAR(10)&amp;"Sent from the Preston Mazda enquiry log.","%","%25"),"&amp;","%26")," ","%20"),"#","%23"),CHAR(10),"%0A"),"✉ Email "&amp;P32))</f>
        <v/>
      </c>
    </row>
    <row r="33" customFormat="false" ht="15" hidden="false" customHeight="false" outlineLevel="0" collapsed="false">
      <c r="A33" s="10" t="str">
        <f aca="false">IF(D33="","","E-"&amp;TEXT(ROW()-3,"0000"))</f>
        <v/>
      </c>
      <c r="B33" s="11"/>
      <c r="C33" s="12"/>
      <c r="D33" s="13"/>
      <c r="E33" s="14"/>
      <c r="F33" s="12"/>
      <c r="G33" s="12"/>
      <c r="H33" s="15"/>
      <c r="I33" s="16"/>
      <c r="J33" s="17" t="str">
        <f aca="false">IF(D33="","",HYPERLINK(Settings!$B$7&amp;A33&amp;".pdf","Open "&amp;A33&amp;".pdf"))</f>
        <v/>
      </c>
      <c r="K33" s="16"/>
      <c r="L33" s="12"/>
      <c r="M33" s="12"/>
      <c r="N33" s="15"/>
      <c r="O33" s="15"/>
      <c r="P33" s="12"/>
      <c r="Q33" s="15"/>
      <c r="R33" s="15"/>
      <c r="S33" s="15" t="str">
        <f aca="false">IF(D33="","",IF(AND(O33="Yes",OR(Q33&lt;&gt;"Yes",R33="Yes")),"Complete","Open"))</f>
        <v/>
      </c>
      <c r="T33" s="18" t="str">
        <f aca="false">IF(AND(Q33="Yes",R33&lt;&gt;"Yes"),HYPERLINK("mailto:"&amp;Settings!$B$5&amp;"?subject="&amp;SUBSTITUTE(SUBSTITUTE(SUBSTITUTE(SUBSTITUTE(SUBSTITUTE("Parts quote required - "&amp;D33&amp;" "&amp;E33,"%","%25"),"&amp;","%26")," ","%20"),"#","%23"),CHAR(10),"%0A")&amp;"&amp;body="&amp;SUBSTITUTE(SUBSTITUTE(SUBSTITUTE(SUBSTITUTE(SUBSTITUTE("Ref: "&amp;A33&amp;CHAR(10)&amp;"Customer: "&amp;D33&amp;"  "&amp;E33&amp;CHAR(10)&amp;"Phone: "&amp;F33&amp;CHAR(10)&amp;"Email: "&amp;G33&amp;CHAR(10)&amp;"Prefers: "&amp;H33&amp;CHAR(10)&amp;"Enquiry: "&amp;LEFT(I33,600)&amp;CHAR(10)&amp;CHAR(10)&amp;"Sent from the Preston Mazda enquiry log.","%","%25"),"&amp;","%26")," ","%20"),"#","%23"),CHAR(10),"%0A"),"✉ Email parts"),"")</f>
        <v/>
      </c>
      <c r="U33" s="18" t="str">
        <f aca="false">IF(AND(N33="Yes",O33&lt;&gt;"Yes"),HYPERLINK("mailto:"&amp;Settings!$B$6&amp;"?subject="&amp;SUBSTITUTE(SUBSTITUTE(SUBSTITUTE(SUBSTITUTE(SUBSTITUTE("Customer contact required - "&amp;D33&amp;" "&amp;E33,"%","%25"),"&amp;","%26")," ","%20"),"#","%23"),CHAR(10),"%0A")&amp;"&amp;body="&amp;SUBSTITUTE(SUBSTITUTE(SUBSTITUTE(SUBSTITUTE(SUBSTITUTE("Ref: "&amp;A33&amp;CHAR(10)&amp;"Customer: "&amp;D33&amp;"  "&amp;E33&amp;CHAR(10)&amp;"Phone: "&amp;F33&amp;CHAR(10)&amp;"Email: "&amp;G33&amp;CHAR(10)&amp;"Prefers: "&amp;H33&amp;CHAR(10)&amp;"Enquiry: "&amp;LEFT(I33,600)&amp;CHAR(10)&amp;CHAR(10)&amp;"Sent from the Preston Mazda enquiry log.","%","%25"),"&amp;","%26")," ","%20"),"#","%23"),CHAR(10),"%0A"),"✉ Email advisors"),"")</f>
        <v/>
      </c>
      <c r="V33" s="18" t="str">
        <f aca="false">IF(OR(M33="",IFERROR(INDEX(Staff!$B$4:$B$33,MATCH(M33,Staff!$A$4:$A$33,0)),"")=""),"",HYPERLINK("mailto:"&amp;IFERROR(INDEX(Staff!$B$4:$B$33,MATCH(M33,Staff!$A$4:$A$33,0)),"")&amp;"?subject="&amp;SUBSTITUTE(SUBSTITUTE(SUBSTITUTE(SUBSTITUTE(SUBSTITUTE("Enquiry "&amp;A33&amp;" allocated to you - "&amp;D33,"%","%25"),"&amp;","%26")," ","%20"),"#","%23"),CHAR(10),"%0A")&amp;"&amp;body="&amp;SUBSTITUTE(SUBSTITUTE(SUBSTITUTE(SUBSTITUTE(SUBSTITUTE("Ref: "&amp;A33&amp;CHAR(10)&amp;"Customer: "&amp;D33&amp;"  "&amp;E33&amp;CHAR(10)&amp;"Phone: "&amp;F33&amp;CHAR(10)&amp;"Email: "&amp;G33&amp;CHAR(10)&amp;"Prefers: "&amp;H33&amp;CHAR(10)&amp;"Enquiry: "&amp;LEFT(I33,600)&amp;CHAR(10)&amp;CHAR(10)&amp;"Sent from the Preston Mazda enquiry log.","%","%25"),"&amp;","%26")," ","%20"),"#","%23"),CHAR(10),"%0A"),"✉ Email "&amp;M33))</f>
        <v/>
      </c>
      <c r="W33" s="18" t="str">
        <f aca="false">IF(OR(P33="",IFERROR(INDEX(Staff!$E$4:$E$33,MATCH(P33,Staff!$D$4:$D$33,0)),"")=""),"",HYPERLINK("mailto:"&amp;IFERROR(INDEX(Staff!$E$4:$E$33,MATCH(P33,Staff!$D$4:$D$33,0)),"")&amp;"?subject="&amp;SUBSTITUTE(SUBSTITUTE(SUBSTITUTE(SUBSTITUTE(SUBSTITUTE("Parts quote "&amp;A33&amp;" allocated to you - "&amp;D33,"%","%25"),"&amp;","%26")," ","%20"),"#","%23"),CHAR(10),"%0A")&amp;"&amp;body="&amp;SUBSTITUTE(SUBSTITUTE(SUBSTITUTE(SUBSTITUTE(SUBSTITUTE("Ref: "&amp;A33&amp;CHAR(10)&amp;"Customer: "&amp;D33&amp;"  "&amp;E33&amp;CHAR(10)&amp;"Phone: "&amp;F33&amp;CHAR(10)&amp;"Email: "&amp;G33&amp;CHAR(10)&amp;"Prefers: "&amp;H33&amp;CHAR(10)&amp;"Enquiry: "&amp;LEFT(I33,600)&amp;CHAR(10)&amp;CHAR(10)&amp;"Sent from the Preston Mazda enquiry log.","%","%25"),"&amp;","%26")," ","%20"),"#","%23"),CHAR(10),"%0A"),"✉ Email "&amp;P33))</f>
        <v/>
      </c>
    </row>
    <row r="34" customFormat="false" ht="15" hidden="false" customHeight="false" outlineLevel="0" collapsed="false">
      <c r="A34" s="10" t="str">
        <f aca="false">IF(D34="","","E-"&amp;TEXT(ROW()-3,"0000"))</f>
        <v/>
      </c>
      <c r="B34" s="11"/>
      <c r="C34" s="12"/>
      <c r="D34" s="13"/>
      <c r="E34" s="14"/>
      <c r="F34" s="12"/>
      <c r="G34" s="12"/>
      <c r="H34" s="15"/>
      <c r="I34" s="16"/>
      <c r="J34" s="17" t="str">
        <f aca="false">IF(D34="","",HYPERLINK(Settings!$B$7&amp;A34&amp;".pdf","Open "&amp;A34&amp;".pdf"))</f>
        <v/>
      </c>
      <c r="K34" s="16"/>
      <c r="L34" s="12"/>
      <c r="M34" s="12"/>
      <c r="N34" s="15"/>
      <c r="O34" s="15"/>
      <c r="P34" s="12"/>
      <c r="Q34" s="15"/>
      <c r="R34" s="15"/>
      <c r="S34" s="15" t="str">
        <f aca="false">IF(D34="","",IF(AND(O34="Yes",OR(Q34&lt;&gt;"Yes",R34="Yes")),"Complete","Open"))</f>
        <v/>
      </c>
      <c r="T34" s="18" t="str">
        <f aca="false">IF(AND(Q34="Yes",R34&lt;&gt;"Yes"),HYPERLINK("mailto:"&amp;Settings!$B$5&amp;"?subject="&amp;SUBSTITUTE(SUBSTITUTE(SUBSTITUTE(SUBSTITUTE(SUBSTITUTE("Parts quote required - "&amp;D34&amp;" "&amp;E34,"%","%25"),"&amp;","%26")," ","%20"),"#","%23"),CHAR(10),"%0A")&amp;"&amp;body="&amp;SUBSTITUTE(SUBSTITUTE(SUBSTITUTE(SUBSTITUTE(SUBSTITUTE("Ref: "&amp;A34&amp;CHAR(10)&amp;"Customer: "&amp;D34&amp;"  "&amp;E34&amp;CHAR(10)&amp;"Phone: "&amp;F34&amp;CHAR(10)&amp;"Email: "&amp;G34&amp;CHAR(10)&amp;"Prefers: "&amp;H34&amp;CHAR(10)&amp;"Enquiry: "&amp;LEFT(I34,600)&amp;CHAR(10)&amp;CHAR(10)&amp;"Sent from the Preston Mazda enquiry log.","%","%25"),"&amp;","%26")," ","%20"),"#","%23"),CHAR(10),"%0A"),"✉ Email parts"),"")</f>
        <v/>
      </c>
      <c r="U34" s="18" t="str">
        <f aca="false">IF(AND(N34="Yes",O34&lt;&gt;"Yes"),HYPERLINK("mailto:"&amp;Settings!$B$6&amp;"?subject="&amp;SUBSTITUTE(SUBSTITUTE(SUBSTITUTE(SUBSTITUTE(SUBSTITUTE("Customer contact required - "&amp;D34&amp;" "&amp;E34,"%","%25"),"&amp;","%26")," ","%20"),"#","%23"),CHAR(10),"%0A")&amp;"&amp;body="&amp;SUBSTITUTE(SUBSTITUTE(SUBSTITUTE(SUBSTITUTE(SUBSTITUTE("Ref: "&amp;A34&amp;CHAR(10)&amp;"Customer: "&amp;D34&amp;"  "&amp;E34&amp;CHAR(10)&amp;"Phone: "&amp;F34&amp;CHAR(10)&amp;"Email: "&amp;G34&amp;CHAR(10)&amp;"Prefers: "&amp;H34&amp;CHAR(10)&amp;"Enquiry: "&amp;LEFT(I34,600)&amp;CHAR(10)&amp;CHAR(10)&amp;"Sent from the Preston Mazda enquiry log.","%","%25"),"&amp;","%26")," ","%20"),"#","%23"),CHAR(10),"%0A"),"✉ Email advisors"),"")</f>
        <v/>
      </c>
      <c r="V34" s="18" t="str">
        <f aca="false">IF(OR(M34="",IFERROR(INDEX(Staff!$B$4:$B$33,MATCH(M34,Staff!$A$4:$A$33,0)),"")=""),"",HYPERLINK("mailto:"&amp;IFERROR(INDEX(Staff!$B$4:$B$33,MATCH(M34,Staff!$A$4:$A$33,0)),"")&amp;"?subject="&amp;SUBSTITUTE(SUBSTITUTE(SUBSTITUTE(SUBSTITUTE(SUBSTITUTE("Enquiry "&amp;A34&amp;" allocated to you - "&amp;D34,"%","%25"),"&amp;","%26")," ","%20"),"#","%23"),CHAR(10),"%0A")&amp;"&amp;body="&amp;SUBSTITUTE(SUBSTITUTE(SUBSTITUTE(SUBSTITUTE(SUBSTITUTE("Ref: "&amp;A34&amp;CHAR(10)&amp;"Customer: "&amp;D34&amp;"  "&amp;E34&amp;CHAR(10)&amp;"Phone: "&amp;F34&amp;CHAR(10)&amp;"Email: "&amp;G34&amp;CHAR(10)&amp;"Prefers: "&amp;H34&amp;CHAR(10)&amp;"Enquiry: "&amp;LEFT(I34,600)&amp;CHAR(10)&amp;CHAR(10)&amp;"Sent from the Preston Mazda enquiry log.","%","%25"),"&amp;","%26")," ","%20"),"#","%23"),CHAR(10),"%0A"),"✉ Email "&amp;M34))</f>
        <v/>
      </c>
      <c r="W34" s="18" t="str">
        <f aca="false">IF(OR(P34="",IFERROR(INDEX(Staff!$E$4:$E$33,MATCH(P34,Staff!$D$4:$D$33,0)),"")=""),"",HYPERLINK("mailto:"&amp;IFERROR(INDEX(Staff!$E$4:$E$33,MATCH(P34,Staff!$D$4:$D$33,0)),"")&amp;"?subject="&amp;SUBSTITUTE(SUBSTITUTE(SUBSTITUTE(SUBSTITUTE(SUBSTITUTE("Parts quote "&amp;A34&amp;" allocated to you - "&amp;D34,"%","%25"),"&amp;","%26")," ","%20"),"#","%23"),CHAR(10),"%0A")&amp;"&amp;body="&amp;SUBSTITUTE(SUBSTITUTE(SUBSTITUTE(SUBSTITUTE(SUBSTITUTE("Ref: "&amp;A34&amp;CHAR(10)&amp;"Customer: "&amp;D34&amp;"  "&amp;E34&amp;CHAR(10)&amp;"Phone: "&amp;F34&amp;CHAR(10)&amp;"Email: "&amp;G34&amp;CHAR(10)&amp;"Prefers: "&amp;H34&amp;CHAR(10)&amp;"Enquiry: "&amp;LEFT(I34,600)&amp;CHAR(10)&amp;CHAR(10)&amp;"Sent from the Preston Mazda enquiry log.","%","%25"),"&amp;","%26")," ","%20"),"#","%23"),CHAR(10),"%0A"),"✉ Email "&amp;P34))</f>
        <v/>
      </c>
    </row>
    <row r="35" customFormat="false" ht="15" hidden="false" customHeight="false" outlineLevel="0" collapsed="false">
      <c r="A35" s="10" t="str">
        <f aca="false">IF(D35="","","E-"&amp;TEXT(ROW()-3,"0000"))</f>
        <v/>
      </c>
      <c r="B35" s="11"/>
      <c r="C35" s="12"/>
      <c r="D35" s="13"/>
      <c r="E35" s="14"/>
      <c r="F35" s="12"/>
      <c r="G35" s="12"/>
      <c r="H35" s="15"/>
      <c r="I35" s="16"/>
      <c r="J35" s="17" t="str">
        <f aca="false">IF(D35="","",HYPERLINK(Settings!$B$7&amp;A35&amp;".pdf","Open "&amp;A35&amp;".pdf"))</f>
        <v/>
      </c>
      <c r="K35" s="16"/>
      <c r="L35" s="12"/>
      <c r="M35" s="12"/>
      <c r="N35" s="15"/>
      <c r="O35" s="15"/>
      <c r="P35" s="12"/>
      <c r="Q35" s="15"/>
      <c r="R35" s="15"/>
      <c r="S35" s="15" t="str">
        <f aca="false">IF(D35="","",IF(AND(O35="Yes",OR(Q35&lt;&gt;"Yes",R35="Yes")),"Complete","Open"))</f>
        <v/>
      </c>
      <c r="T35" s="18" t="str">
        <f aca="false">IF(AND(Q35="Yes",R35&lt;&gt;"Yes"),HYPERLINK("mailto:"&amp;Settings!$B$5&amp;"?subject="&amp;SUBSTITUTE(SUBSTITUTE(SUBSTITUTE(SUBSTITUTE(SUBSTITUTE("Parts quote required - "&amp;D35&amp;" "&amp;E35,"%","%25"),"&amp;","%26")," ","%20"),"#","%23"),CHAR(10),"%0A")&amp;"&amp;body="&amp;SUBSTITUTE(SUBSTITUTE(SUBSTITUTE(SUBSTITUTE(SUBSTITUTE("Ref: "&amp;A35&amp;CHAR(10)&amp;"Customer: "&amp;D35&amp;"  "&amp;E35&amp;CHAR(10)&amp;"Phone: "&amp;F35&amp;CHAR(10)&amp;"Email: "&amp;G35&amp;CHAR(10)&amp;"Prefers: "&amp;H35&amp;CHAR(10)&amp;"Enquiry: "&amp;LEFT(I35,600)&amp;CHAR(10)&amp;CHAR(10)&amp;"Sent from the Preston Mazda enquiry log.","%","%25"),"&amp;","%26")," ","%20"),"#","%23"),CHAR(10),"%0A"),"✉ Email parts"),"")</f>
        <v/>
      </c>
      <c r="U35" s="18" t="str">
        <f aca="false">IF(AND(N35="Yes",O35&lt;&gt;"Yes"),HYPERLINK("mailto:"&amp;Settings!$B$6&amp;"?subject="&amp;SUBSTITUTE(SUBSTITUTE(SUBSTITUTE(SUBSTITUTE(SUBSTITUTE("Customer contact required - "&amp;D35&amp;" "&amp;E35,"%","%25"),"&amp;","%26")," ","%20"),"#","%23"),CHAR(10),"%0A")&amp;"&amp;body="&amp;SUBSTITUTE(SUBSTITUTE(SUBSTITUTE(SUBSTITUTE(SUBSTITUTE("Ref: "&amp;A35&amp;CHAR(10)&amp;"Customer: "&amp;D35&amp;"  "&amp;E35&amp;CHAR(10)&amp;"Phone: "&amp;F35&amp;CHAR(10)&amp;"Email: "&amp;G35&amp;CHAR(10)&amp;"Prefers: "&amp;H35&amp;CHAR(10)&amp;"Enquiry: "&amp;LEFT(I35,600)&amp;CHAR(10)&amp;CHAR(10)&amp;"Sent from the Preston Mazda enquiry log.","%","%25"),"&amp;","%26")," ","%20"),"#","%23"),CHAR(10),"%0A"),"✉ Email advisors"),"")</f>
        <v/>
      </c>
      <c r="V35" s="18" t="str">
        <f aca="false">IF(OR(M35="",IFERROR(INDEX(Staff!$B$4:$B$33,MATCH(M35,Staff!$A$4:$A$33,0)),"")=""),"",HYPERLINK("mailto:"&amp;IFERROR(INDEX(Staff!$B$4:$B$33,MATCH(M35,Staff!$A$4:$A$33,0)),"")&amp;"?subject="&amp;SUBSTITUTE(SUBSTITUTE(SUBSTITUTE(SUBSTITUTE(SUBSTITUTE("Enquiry "&amp;A35&amp;" allocated to you - "&amp;D35,"%","%25"),"&amp;","%26")," ","%20"),"#","%23"),CHAR(10),"%0A")&amp;"&amp;body="&amp;SUBSTITUTE(SUBSTITUTE(SUBSTITUTE(SUBSTITUTE(SUBSTITUTE("Ref: "&amp;A35&amp;CHAR(10)&amp;"Customer: "&amp;D35&amp;"  "&amp;E35&amp;CHAR(10)&amp;"Phone: "&amp;F35&amp;CHAR(10)&amp;"Email: "&amp;G35&amp;CHAR(10)&amp;"Prefers: "&amp;H35&amp;CHAR(10)&amp;"Enquiry: "&amp;LEFT(I35,600)&amp;CHAR(10)&amp;CHAR(10)&amp;"Sent from the Preston Mazda enquiry log.","%","%25"),"&amp;","%26")," ","%20"),"#","%23"),CHAR(10),"%0A"),"✉ Email "&amp;M35))</f>
        <v/>
      </c>
      <c r="W35" s="18" t="str">
        <f aca="false">IF(OR(P35="",IFERROR(INDEX(Staff!$E$4:$E$33,MATCH(P35,Staff!$D$4:$D$33,0)),"")=""),"",HYPERLINK("mailto:"&amp;IFERROR(INDEX(Staff!$E$4:$E$33,MATCH(P35,Staff!$D$4:$D$33,0)),"")&amp;"?subject="&amp;SUBSTITUTE(SUBSTITUTE(SUBSTITUTE(SUBSTITUTE(SUBSTITUTE("Parts quote "&amp;A35&amp;" allocated to you - "&amp;D35,"%","%25"),"&amp;","%26")," ","%20"),"#","%23"),CHAR(10),"%0A")&amp;"&amp;body="&amp;SUBSTITUTE(SUBSTITUTE(SUBSTITUTE(SUBSTITUTE(SUBSTITUTE("Ref: "&amp;A35&amp;CHAR(10)&amp;"Customer: "&amp;D35&amp;"  "&amp;E35&amp;CHAR(10)&amp;"Phone: "&amp;F35&amp;CHAR(10)&amp;"Email: "&amp;G35&amp;CHAR(10)&amp;"Prefers: "&amp;H35&amp;CHAR(10)&amp;"Enquiry: "&amp;LEFT(I35,600)&amp;CHAR(10)&amp;CHAR(10)&amp;"Sent from the Preston Mazda enquiry log.","%","%25"),"&amp;","%26")," ","%20"),"#","%23"),CHAR(10),"%0A"),"✉ Email "&amp;P35))</f>
        <v/>
      </c>
    </row>
    <row r="36" customFormat="false" ht="15" hidden="false" customHeight="false" outlineLevel="0" collapsed="false">
      <c r="A36" s="10" t="str">
        <f aca="false">IF(D36="","","E-"&amp;TEXT(ROW()-3,"0000"))</f>
        <v/>
      </c>
      <c r="B36" s="11"/>
      <c r="C36" s="12"/>
      <c r="D36" s="13"/>
      <c r="E36" s="14"/>
      <c r="F36" s="12"/>
      <c r="G36" s="12"/>
      <c r="H36" s="15"/>
      <c r="I36" s="16"/>
      <c r="J36" s="17" t="str">
        <f aca="false">IF(D36="","",HYPERLINK(Settings!$B$7&amp;A36&amp;".pdf","Open "&amp;A36&amp;".pdf"))</f>
        <v/>
      </c>
      <c r="K36" s="16"/>
      <c r="L36" s="12"/>
      <c r="M36" s="12"/>
      <c r="N36" s="15"/>
      <c r="O36" s="15"/>
      <c r="P36" s="12"/>
      <c r="Q36" s="15"/>
      <c r="R36" s="15"/>
      <c r="S36" s="15" t="str">
        <f aca="false">IF(D36="","",IF(AND(O36="Yes",OR(Q36&lt;&gt;"Yes",R36="Yes")),"Complete","Open"))</f>
        <v/>
      </c>
      <c r="T36" s="18" t="str">
        <f aca="false">IF(AND(Q36="Yes",R36&lt;&gt;"Yes"),HYPERLINK("mailto:"&amp;Settings!$B$5&amp;"?subject="&amp;SUBSTITUTE(SUBSTITUTE(SUBSTITUTE(SUBSTITUTE(SUBSTITUTE("Parts quote required - "&amp;D36&amp;" "&amp;E36,"%","%25"),"&amp;","%26")," ","%20"),"#","%23"),CHAR(10),"%0A")&amp;"&amp;body="&amp;SUBSTITUTE(SUBSTITUTE(SUBSTITUTE(SUBSTITUTE(SUBSTITUTE("Ref: "&amp;A36&amp;CHAR(10)&amp;"Customer: "&amp;D36&amp;"  "&amp;E36&amp;CHAR(10)&amp;"Phone: "&amp;F36&amp;CHAR(10)&amp;"Email: "&amp;G36&amp;CHAR(10)&amp;"Prefers: "&amp;H36&amp;CHAR(10)&amp;"Enquiry: "&amp;LEFT(I36,600)&amp;CHAR(10)&amp;CHAR(10)&amp;"Sent from the Preston Mazda enquiry log.","%","%25"),"&amp;","%26")," ","%20"),"#","%23"),CHAR(10),"%0A"),"✉ Email parts"),"")</f>
        <v/>
      </c>
      <c r="U36" s="18" t="str">
        <f aca="false">IF(AND(N36="Yes",O36&lt;&gt;"Yes"),HYPERLINK("mailto:"&amp;Settings!$B$6&amp;"?subject="&amp;SUBSTITUTE(SUBSTITUTE(SUBSTITUTE(SUBSTITUTE(SUBSTITUTE("Customer contact required - "&amp;D36&amp;" "&amp;E36,"%","%25"),"&amp;","%26")," ","%20"),"#","%23"),CHAR(10),"%0A")&amp;"&amp;body="&amp;SUBSTITUTE(SUBSTITUTE(SUBSTITUTE(SUBSTITUTE(SUBSTITUTE("Ref: "&amp;A36&amp;CHAR(10)&amp;"Customer: "&amp;D36&amp;"  "&amp;E36&amp;CHAR(10)&amp;"Phone: "&amp;F36&amp;CHAR(10)&amp;"Email: "&amp;G36&amp;CHAR(10)&amp;"Prefers: "&amp;H36&amp;CHAR(10)&amp;"Enquiry: "&amp;LEFT(I36,600)&amp;CHAR(10)&amp;CHAR(10)&amp;"Sent from the Preston Mazda enquiry log.","%","%25"),"&amp;","%26")," ","%20"),"#","%23"),CHAR(10),"%0A"),"✉ Email advisors"),"")</f>
        <v/>
      </c>
      <c r="V36" s="18" t="str">
        <f aca="false">IF(OR(M36="",IFERROR(INDEX(Staff!$B$4:$B$33,MATCH(M36,Staff!$A$4:$A$33,0)),"")=""),"",HYPERLINK("mailto:"&amp;IFERROR(INDEX(Staff!$B$4:$B$33,MATCH(M36,Staff!$A$4:$A$33,0)),"")&amp;"?subject="&amp;SUBSTITUTE(SUBSTITUTE(SUBSTITUTE(SUBSTITUTE(SUBSTITUTE("Enquiry "&amp;A36&amp;" allocated to you - "&amp;D36,"%","%25"),"&amp;","%26")," ","%20"),"#","%23"),CHAR(10),"%0A")&amp;"&amp;body="&amp;SUBSTITUTE(SUBSTITUTE(SUBSTITUTE(SUBSTITUTE(SUBSTITUTE("Ref: "&amp;A36&amp;CHAR(10)&amp;"Customer: "&amp;D36&amp;"  "&amp;E36&amp;CHAR(10)&amp;"Phone: "&amp;F36&amp;CHAR(10)&amp;"Email: "&amp;G36&amp;CHAR(10)&amp;"Prefers: "&amp;H36&amp;CHAR(10)&amp;"Enquiry: "&amp;LEFT(I36,600)&amp;CHAR(10)&amp;CHAR(10)&amp;"Sent from the Preston Mazda enquiry log.","%","%25"),"&amp;","%26")," ","%20"),"#","%23"),CHAR(10),"%0A"),"✉ Email "&amp;M36))</f>
        <v/>
      </c>
      <c r="W36" s="18" t="str">
        <f aca="false">IF(OR(P36="",IFERROR(INDEX(Staff!$E$4:$E$33,MATCH(P36,Staff!$D$4:$D$33,0)),"")=""),"",HYPERLINK("mailto:"&amp;IFERROR(INDEX(Staff!$E$4:$E$33,MATCH(P36,Staff!$D$4:$D$33,0)),"")&amp;"?subject="&amp;SUBSTITUTE(SUBSTITUTE(SUBSTITUTE(SUBSTITUTE(SUBSTITUTE("Parts quote "&amp;A36&amp;" allocated to you - "&amp;D36,"%","%25"),"&amp;","%26")," ","%20"),"#","%23"),CHAR(10),"%0A")&amp;"&amp;body="&amp;SUBSTITUTE(SUBSTITUTE(SUBSTITUTE(SUBSTITUTE(SUBSTITUTE("Ref: "&amp;A36&amp;CHAR(10)&amp;"Customer: "&amp;D36&amp;"  "&amp;E36&amp;CHAR(10)&amp;"Phone: "&amp;F36&amp;CHAR(10)&amp;"Email: "&amp;G36&amp;CHAR(10)&amp;"Prefers: "&amp;H36&amp;CHAR(10)&amp;"Enquiry: "&amp;LEFT(I36,600)&amp;CHAR(10)&amp;CHAR(10)&amp;"Sent from the Preston Mazda enquiry log.","%","%25"),"&amp;","%26")," ","%20"),"#","%23"),CHAR(10),"%0A"),"✉ Email "&amp;P36))</f>
        <v/>
      </c>
    </row>
    <row r="37" customFormat="false" ht="15" hidden="false" customHeight="false" outlineLevel="0" collapsed="false">
      <c r="A37" s="10" t="str">
        <f aca="false">IF(D37="","","E-"&amp;TEXT(ROW()-3,"0000"))</f>
        <v/>
      </c>
      <c r="B37" s="11"/>
      <c r="C37" s="12"/>
      <c r="D37" s="13"/>
      <c r="E37" s="14"/>
      <c r="F37" s="12"/>
      <c r="G37" s="12"/>
      <c r="H37" s="15"/>
      <c r="I37" s="16"/>
      <c r="J37" s="17" t="str">
        <f aca="false">IF(D37="","",HYPERLINK(Settings!$B$7&amp;A37&amp;".pdf","Open "&amp;A37&amp;".pdf"))</f>
        <v/>
      </c>
      <c r="K37" s="16"/>
      <c r="L37" s="12"/>
      <c r="M37" s="12"/>
      <c r="N37" s="15"/>
      <c r="O37" s="15"/>
      <c r="P37" s="12"/>
      <c r="Q37" s="15"/>
      <c r="R37" s="15"/>
      <c r="S37" s="15" t="str">
        <f aca="false">IF(D37="","",IF(AND(O37="Yes",OR(Q37&lt;&gt;"Yes",R37="Yes")),"Complete","Open"))</f>
        <v/>
      </c>
      <c r="T37" s="18" t="str">
        <f aca="false">IF(AND(Q37="Yes",R37&lt;&gt;"Yes"),HYPERLINK("mailto:"&amp;Settings!$B$5&amp;"?subject="&amp;SUBSTITUTE(SUBSTITUTE(SUBSTITUTE(SUBSTITUTE(SUBSTITUTE("Parts quote required - "&amp;D37&amp;" "&amp;E37,"%","%25"),"&amp;","%26")," ","%20"),"#","%23"),CHAR(10),"%0A")&amp;"&amp;body="&amp;SUBSTITUTE(SUBSTITUTE(SUBSTITUTE(SUBSTITUTE(SUBSTITUTE("Ref: "&amp;A37&amp;CHAR(10)&amp;"Customer: "&amp;D37&amp;"  "&amp;E37&amp;CHAR(10)&amp;"Phone: "&amp;F37&amp;CHAR(10)&amp;"Email: "&amp;G37&amp;CHAR(10)&amp;"Prefers: "&amp;H37&amp;CHAR(10)&amp;"Enquiry: "&amp;LEFT(I37,600)&amp;CHAR(10)&amp;CHAR(10)&amp;"Sent from the Preston Mazda enquiry log.","%","%25"),"&amp;","%26")," ","%20"),"#","%23"),CHAR(10),"%0A"),"✉ Email parts"),"")</f>
        <v/>
      </c>
      <c r="U37" s="18" t="str">
        <f aca="false">IF(AND(N37="Yes",O37&lt;&gt;"Yes"),HYPERLINK("mailto:"&amp;Settings!$B$6&amp;"?subject="&amp;SUBSTITUTE(SUBSTITUTE(SUBSTITUTE(SUBSTITUTE(SUBSTITUTE("Customer contact required - "&amp;D37&amp;" "&amp;E37,"%","%25"),"&amp;","%26")," ","%20"),"#","%23"),CHAR(10),"%0A")&amp;"&amp;body="&amp;SUBSTITUTE(SUBSTITUTE(SUBSTITUTE(SUBSTITUTE(SUBSTITUTE("Ref: "&amp;A37&amp;CHAR(10)&amp;"Customer: "&amp;D37&amp;"  "&amp;E37&amp;CHAR(10)&amp;"Phone: "&amp;F37&amp;CHAR(10)&amp;"Email: "&amp;G37&amp;CHAR(10)&amp;"Prefers: "&amp;H37&amp;CHAR(10)&amp;"Enquiry: "&amp;LEFT(I37,600)&amp;CHAR(10)&amp;CHAR(10)&amp;"Sent from the Preston Mazda enquiry log.","%","%25"),"&amp;","%26")," ","%20"),"#","%23"),CHAR(10),"%0A"),"✉ Email advisors"),"")</f>
        <v/>
      </c>
      <c r="V37" s="18" t="str">
        <f aca="false">IF(OR(M37="",IFERROR(INDEX(Staff!$B$4:$B$33,MATCH(M37,Staff!$A$4:$A$33,0)),"")=""),"",HYPERLINK("mailto:"&amp;IFERROR(INDEX(Staff!$B$4:$B$33,MATCH(M37,Staff!$A$4:$A$33,0)),"")&amp;"?subject="&amp;SUBSTITUTE(SUBSTITUTE(SUBSTITUTE(SUBSTITUTE(SUBSTITUTE("Enquiry "&amp;A37&amp;" allocated to you - "&amp;D37,"%","%25"),"&amp;","%26")," ","%20"),"#","%23"),CHAR(10),"%0A")&amp;"&amp;body="&amp;SUBSTITUTE(SUBSTITUTE(SUBSTITUTE(SUBSTITUTE(SUBSTITUTE("Ref: "&amp;A37&amp;CHAR(10)&amp;"Customer: "&amp;D37&amp;"  "&amp;E37&amp;CHAR(10)&amp;"Phone: "&amp;F37&amp;CHAR(10)&amp;"Email: "&amp;G37&amp;CHAR(10)&amp;"Prefers: "&amp;H37&amp;CHAR(10)&amp;"Enquiry: "&amp;LEFT(I37,600)&amp;CHAR(10)&amp;CHAR(10)&amp;"Sent from the Preston Mazda enquiry log.","%","%25"),"&amp;","%26")," ","%20"),"#","%23"),CHAR(10),"%0A"),"✉ Email "&amp;M37))</f>
        <v/>
      </c>
      <c r="W37" s="18" t="str">
        <f aca="false">IF(OR(P37="",IFERROR(INDEX(Staff!$E$4:$E$33,MATCH(P37,Staff!$D$4:$D$33,0)),"")=""),"",HYPERLINK("mailto:"&amp;IFERROR(INDEX(Staff!$E$4:$E$33,MATCH(P37,Staff!$D$4:$D$33,0)),"")&amp;"?subject="&amp;SUBSTITUTE(SUBSTITUTE(SUBSTITUTE(SUBSTITUTE(SUBSTITUTE("Parts quote "&amp;A37&amp;" allocated to you - "&amp;D37,"%","%25"),"&amp;","%26")," ","%20"),"#","%23"),CHAR(10),"%0A")&amp;"&amp;body="&amp;SUBSTITUTE(SUBSTITUTE(SUBSTITUTE(SUBSTITUTE(SUBSTITUTE("Ref: "&amp;A37&amp;CHAR(10)&amp;"Customer: "&amp;D37&amp;"  "&amp;E37&amp;CHAR(10)&amp;"Phone: "&amp;F37&amp;CHAR(10)&amp;"Email: "&amp;G37&amp;CHAR(10)&amp;"Prefers: "&amp;H37&amp;CHAR(10)&amp;"Enquiry: "&amp;LEFT(I37,600)&amp;CHAR(10)&amp;CHAR(10)&amp;"Sent from the Preston Mazda enquiry log.","%","%25"),"&amp;","%26")," ","%20"),"#","%23"),CHAR(10),"%0A"),"✉ Email "&amp;P37))</f>
        <v/>
      </c>
    </row>
    <row r="38" customFormat="false" ht="15" hidden="false" customHeight="false" outlineLevel="0" collapsed="false">
      <c r="A38" s="10" t="str">
        <f aca="false">IF(D38="","","E-"&amp;TEXT(ROW()-3,"0000"))</f>
        <v/>
      </c>
      <c r="B38" s="11"/>
      <c r="C38" s="12"/>
      <c r="D38" s="13"/>
      <c r="E38" s="14"/>
      <c r="F38" s="12"/>
      <c r="G38" s="12"/>
      <c r="H38" s="15"/>
      <c r="I38" s="16"/>
      <c r="J38" s="17" t="str">
        <f aca="false">IF(D38="","",HYPERLINK(Settings!$B$7&amp;A38&amp;".pdf","Open "&amp;A38&amp;".pdf"))</f>
        <v/>
      </c>
      <c r="K38" s="16"/>
      <c r="L38" s="12"/>
      <c r="M38" s="12"/>
      <c r="N38" s="15"/>
      <c r="O38" s="15"/>
      <c r="P38" s="12"/>
      <c r="Q38" s="15"/>
      <c r="R38" s="15"/>
      <c r="S38" s="15" t="str">
        <f aca="false">IF(D38="","",IF(AND(O38="Yes",OR(Q38&lt;&gt;"Yes",R38="Yes")),"Complete","Open"))</f>
        <v/>
      </c>
      <c r="T38" s="18" t="str">
        <f aca="false">IF(AND(Q38="Yes",R38&lt;&gt;"Yes"),HYPERLINK("mailto:"&amp;Settings!$B$5&amp;"?subject="&amp;SUBSTITUTE(SUBSTITUTE(SUBSTITUTE(SUBSTITUTE(SUBSTITUTE("Parts quote required - "&amp;D38&amp;" "&amp;E38,"%","%25"),"&amp;","%26")," ","%20"),"#","%23"),CHAR(10),"%0A")&amp;"&amp;body="&amp;SUBSTITUTE(SUBSTITUTE(SUBSTITUTE(SUBSTITUTE(SUBSTITUTE("Ref: "&amp;A38&amp;CHAR(10)&amp;"Customer: "&amp;D38&amp;"  "&amp;E38&amp;CHAR(10)&amp;"Phone: "&amp;F38&amp;CHAR(10)&amp;"Email: "&amp;G38&amp;CHAR(10)&amp;"Prefers: "&amp;H38&amp;CHAR(10)&amp;"Enquiry: "&amp;LEFT(I38,600)&amp;CHAR(10)&amp;CHAR(10)&amp;"Sent from the Preston Mazda enquiry log.","%","%25"),"&amp;","%26")," ","%20"),"#","%23"),CHAR(10),"%0A"),"✉ Email parts"),"")</f>
        <v/>
      </c>
      <c r="U38" s="18" t="str">
        <f aca="false">IF(AND(N38="Yes",O38&lt;&gt;"Yes"),HYPERLINK("mailto:"&amp;Settings!$B$6&amp;"?subject="&amp;SUBSTITUTE(SUBSTITUTE(SUBSTITUTE(SUBSTITUTE(SUBSTITUTE("Customer contact required - "&amp;D38&amp;" "&amp;E38,"%","%25"),"&amp;","%26")," ","%20"),"#","%23"),CHAR(10),"%0A")&amp;"&amp;body="&amp;SUBSTITUTE(SUBSTITUTE(SUBSTITUTE(SUBSTITUTE(SUBSTITUTE("Ref: "&amp;A38&amp;CHAR(10)&amp;"Customer: "&amp;D38&amp;"  "&amp;E38&amp;CHAR(10)&amp;"Phone: "&amp;F38&amp;CHAR(10)&amp;"Email: "&amp;G38&amp;CHAR(10)&amp;"Prefers: "&amp;H38&amp;CHAR(10)&amp;"Enquiry: "&amp;LEFT(I38,600)&amp;CHAR(10)&amp;CHAR(10)&amp;"Sent from the Preston Mazda enquiry log.","%","%25"),"&amp;","%26")," ","%20"),"#","%23"),CHAR(10),"%0A"),"✉ Email advisors"),"")</f>
        <v/>
      </c>
      <c r="V38" s="18" t="str">
        <f aca="false">IF(OR(M38="",IFERROR(INDEX(Staff!$B$4:$B$33,MATCH(M38,Staff!$A$4:$A$33,0)),"")=""),"",HYPERLINK("mailto:"&amp;IFERROR(INDEX(Staff!$B$4:$B$33,MATCH(M38,Staff!$A$4:$A$33,0)),"")&amp;"?subject="&amp;SUBSTITUTE(SUBSTITUTE(SUBSTITUTE(SUBSTITUTE(SUBSTITUTE("Enquiry "&amp;A38&amp;" allocated to you - "&amp;D38,"%","%25"),"&amp;","%26")," ","%20"),"#","%23"),CHAR(10),"%0A")&amp;"&amp;body="&amp;SUBSTITUTE(SUBSTITUTE(SUBSTITUTE(SUBSTITUTE(SUBSTITUTE("Ref: "&amp;A38&amp;CHAR(10)&amp;"Customer: "&amp;D38&amp;"  "&amp;E38&amp;CHAR(10)&amp;"Phone: "&amp;F38&amp;CHAR(10)&amp;"Email: "&amp;G38&amp;CHAR(10)&amp;"Prefers: "&amp;H38&amp;CHAR(10)&amp;"Enquiry: "&amp;LEFT(I38,600)&amp;CHAR(10)&amp;CHAR(10)&amp;"Sent from the Preston Mazda enquiry log.","%","%25"),"&amp;","%26")," ","%20"),"#","%23"),CHAR(10),"%0A"),"✉ Email "&amp;M38))</f>
        <v/>
      </c>
      <c r="W38" s="18" t="str">
        <f aca="false">IF(OR(P38="",IFERROR(INDEX(Staff!$E$4:$E$33,MATCH(P38,Staff!$D$4:$D$33,0)),"")=""),"",HYPERLINK("mailto:"&amp;IFERROR(INDEX(Staff!$E$4:$E$33,MATCH(P38,Staff!$D$4:$D$33,0)),"")&amp;"?subject="&amp;SUBSTITUTE(SUBSTITUTE(SUBSTITUTE(SUBSTITUTE(SUBSTITUTE("Parts quote "&amp;A38&amp;" allocated to you - "&amp;D38,"%","%25"),"&amp;","%26")," ","%20"),"#","%23"),CHAR(10),"%0A")&amp;"&amp;body="&amp;SUBSTITUTE(SUBSTITUTE(SUBSTITUTE(SUBSTITUTE(SUBSTITUTE("Ref: "&amp;A38&amp;CHAR(10)&amp;"Customer: "&amp;D38&amp;"  "&amp;E38&amp;CHAR(10)&amp;"Phone: "&amp;F38&amp;CHAR(10)&amp;"Email: "&amp;G38&amp;CHAR(10)&amp;"Prefers: "&amp;H38&amp;CHAR(10)&amp;"Enquiry: "&amp;LEFT(I38,600)&amp;CHAR(10)&amp;CHAR(10)&amp;"Sent from the Preston Mazda enquiry log.","%","%25"),"&amp;","%26")," ","%20"),"#","%23"),CHAR(10),"%0A"),"✉ Email "&amp;P38))</f>
        <v/>
      </c>
    </row>
    <row r="39" customFormat="false" ht="15" hidden="false" customHeight="false" outlineLevel="0" collapsed="false">
      <c r="A39" s="10" t="str">
        <f aca="false">IF(D39="","","E-"&amp;TEXT(ROW()-3,"0000"))</f>
        <v/>
      </c>
      <c r="B39" s="11"/>
      <c r="C39" s="12"/>
      <c r="D39" s="13"/>
      <c r="E39" s="14"/>
      <c r="F39" s="12"/>
      <c r="G39" s="12"/>
      <c r="H39" s="15"/>
      <c r="I39" s="16"/>
      <c r="J39" s="17" t="str">
        <f aca="false">IF(D39="","",HYPERLINK(Settings!$B$7&amp;A39&amp;".pdf","Open "&amp;A39&amp;".pdf"))</f>
        <v/>
      </c>
      <c r="K39" s="16"/>
      <c r="L39" s="12"/>
      <c r="M39" s="12"/>
      <c r="N39" s="15"/>
      <c r="O39" s="15"/>
      <c r="P39" s="12"/>
      <c r="Q39" s="15"/>
      <c r="R39" s="15"/>
      <c r="S39" s="15" t="str">
        <f aca="false">IF(D39="","",IF(AND(O39="Yes",OR(Q39&lt;&gt;"Yes",R39="Yes")),"Complete","Open"))</f>
        <v/>
      </c>
      <c r="T39" s="18" t="str">
        <f aca="false">IF(AND(Q39="Yes",R39&lt;&gt;"Yes"),HYPERLINK("mailto:"&amp;Settings!$B$5&amp;"?subject="&amp;SUBSTITUTE(SUBSTITUTE(SUBSTITUTE(SUBSTITUTE(SUBSTITUTE("Parts quote required - "&amp;D39&amp;" "&amp;E39,"%","%25"),"&amp;","%26")," ","%20"),"#","%23"),CHAR(10),"%0A")&amp;"&amp;body="&amp;SUBSTITUTE(SUBSTITUTE(SUBSTITUTE(SUBSTITUTE(SUBSTITUTE("Ref: "&amp;A39&amp;CHAR(10)&amp;"Customer: "&amp;D39&amp;"  "&amp;E39&amp;CHAR(10)&amp;"Phone: "&amp;F39&amp;CHAR(10)&amp;"Email: "&amp;G39&amp;CHAR(10)&amp;"Prefers: "&amp;H39&amp;CHAR(10)&amp;"Enquiry: "&amp;LEFT(I39,600)&amp;CHAR(10)&amp;CHAR(10)&amp;"Sent from the Preston Mazda enquiry log.","%","%25"),"&amp;","%26")," ","%20"),"#","%23"),CHAR(10),"%0A"),"✉ Email parts"),"")</f>
        <v/>
      </c>
      <c r="U39" s="18" t="str">
        <f aca="false">IF(AND(N39="Yes",O39&lt;&gt;"Yes"),HYPERLINK("mailto:"&amp;Settings!$B$6&amp;"?subject="&amp;SUBSTITUTE(SUBSTITUTE(SUBSTITUTE(SUBSTITUTE(SUBSTITUTE("Customer contact required - "&amp;D39&amp;" "&amp;E39,"%","%25"),"&amp;","%26")," ","%20"),"#","%23"),CHAR(10),"%0A")&amp;"&amp;body="&amp;SUBSTITUTE(SUBSTITUTE(SUBSTITUTE(SUBSTITUTE(SUBSTITUTE("Ref: "&amp;A39&amp;CHAR(10)&amp;"Customer: "&amp;D39&amp;"  "&amp;E39&amp;CHAR(10)&amp;"Phone: "&amp;F39&amp;CHAR(10)&amp;"Email: "&amp;G39&amp;CHAR(10)&amp;"Prefers: "&amp;H39&amp;CHAR(10)&amp;"Enquiry: "&amp;LEFT(I39,600)&amp;CHAR(10)&amp;CHAR(10)&amp;"Sent from the Preston Mazda enquiry log.","%","%25"),"&amp;","%26")," ","%20"),"#","%23"),CHAR(10),"%0A"),"✉ Email advisors"),"")</f>
        <v/>
      </c>
      <c r="V39" s="18" t="str">
        <f aca="false">IF(OR(M39="",IFERROR(INDEX(Staff!$B$4:$B$33,MATCH(M39,Staff!$A$4:$A$33,0)),"")=""),"",HYPERLINK("mailto:"&amp;IFERROR(INDEX(Staff!$B$4:$B$33,MATCH(M39,Staff!$A$4:$A$33,0)),"")&amp;"?subject="&amp;SUBSTITUTE(SUBSTITUTE(SUBSTITUTE(SUBSTITUTE(SUBSTITUTE("Enquiry "&amp;A39&amp;" allocated to you - "&amp;D39,"%","%25"),"&amp;","%26")," ","%20"),"#","%23"),CHAR(10),"%0A")&amp;"&amp;body="&amp;SUBSTITUTE(SUBSTITUTE(SUBSTITUTE(SUBSTITUTE(SUBSTITUTE("Ref: "&amp;A39&amp;CHAR(10)&amp;"Customer: "&amp;D39&amp;"  "&amp;E39&amp;CHAR(10)&amp;"Phone: "&amp;F39&amp;CHAR(10)&amp;"Email: "&amp;G39&amp;CHAR(10)&amp;"Prefers: "&amp;H39&amp;CHAR(10)&amp;"Enquiry: "&amp;LEFT(I39,600)&amp;CHAR(10)&amp;CHAR(10)&amp;"Sent from the Preston Mazda enquiry log.","%","%25"),"&amp;","%26")," ","%20"),"#","%23"),CHAR(10),"%0A"),"✉ Email "&amp;M39))</f>
        <v/>
      </c>
      <c r="W39" s="18" t="str">
        <f aca="false">IF(OR(P39="",IFERROR(INDEX(Staff!$E$4:$E$33,MATCH(P39,Staff!$D$4:$D$33,0)),"")=""),"",HYPERLINK("mailto:"&amp;IFERROR(INDEX(Staff!$E$4:$E$33,MATCH(P39,Staff!$D$4:$D$33,0)),"")&amp;"?subject="&amp;SUBSTITUTE(SUBSTITUTE(SUBSTITUTE(SUBSTITUTE(SUBSTITUTE("Parts quote "&amp;A39&amp;" allocated to you - "&amp;D39,"%","%25"),"&amp;","%26")," ","%20"),"#","%23"),CHAR(10),"%0A")&amp;"&amp;body="&amp;SUBSTITUTE(SUBSTITUTE(SUBSTITUTE(SUBSTITUTE(SUBSTITUTE("Ref: "&amp;A39&amp;CHAR(10)&amp;"Customer: "&amp;D39&amp;"  "&amp;E39&amp;CHAR(10)&amp;"Phone: "&amp;F39&amp;CHAR(10)&amp;"Email: "&amp;G39&amp;CHAR(10)&amp;"Prefers: "&amp;H39&amp;CHAR(10)&amp;"Enquiry: "&amp;LEFT(I39,600)&amp;CHAR(10)&amp;CHAR(10)&amp;"Sent from the Preston Mazda enquiry log.","%","%25"),"&amp;","%26")," ","%20"),"#","%23"),CHAR(10),"%0A"),"✉ Email "&amp;P39))</f>
        <v/>
      </c>
    </row>
    <row r="40" customFormat="false" ht="15" hidden="false" customHeight="false" outlineLevel="0" collapsed="false">
      <c r="A40" s="10" t="str">
        <f aca="false">IF(D40="","","E-"&amp;TEXT(ROW()-3,"0000"))</f>
        <v/>
      </c>
      <c r="B40" s="11"/>
      <c r="C40" s="12"/>
      <c r="D40" s="13"/>
      <c r="E40" s="14"/>
      <c r="F40" s="12"/>
      <c r="G40" s="12"/>
      <c r="H40" s="15"/>
      <c r="I40" s="16"/>
      <c r="J40" s="17" t="str">
        <f aca="false">IF(D40="","",HYPERLINK(Settings!$B$7&amp;A40&amp;".pdf","Open "&amp;A40&amp;".pdf"))</f>
        <v/>
      </c>
      <c r="K40" s="16"/>
      <c r="L40" s="12"/>
      <c r="M40" s="12"/>
      <c r="N40" s="15"/>
      <c r="O40" s="15"/>
      <c r="P40" s="12"/>
      <c r="Q40" s="15"/>
      <c r="R40" s="15"/>
      <c r="S40" s="15" t="str">
        <f aca="false">IF(D40="","",IF(AND(O40="Yes",OR(Q40&lt;&gt;"Yes",R40="Yes")),"Complete","Open"))</f>
        <v/>
      </c>
      <c r="T40" s="18" t="str">
        <f aca="false">IF(AND(Q40="Yes",R40&lt;&gt;"Yes"),HYPERLINK("mailto:"&amp;Settings!$B$5&amp;"?subject="&amp;SUBSTITUTE(SUBSTITUTE(SUBSTITUTE(SUBSTITUTE(SUBSTITUTE("Parts quote required - "&amp;D40&amp;" "&amp;E40,"%","%25"),"&amp;","%26")," ","%20"),"#","%23"),CHAR(10),"%0A")&amp;"&amp;body="&amp;SUBSTITUTE(SUBSTITUTE(SUBSTITUTE(SUBSTITUTE(SUBSTITUTE("Ref: "&amp;A40&amp;CHAR(10)&amp;"Customer: "&amp;D40&amp;"  "&amp;E40&amp;CHAR(10)&amp;"Phone: "&amp;F40&amp;CHAR(10)&amp;"Email: "&amp;G40&amp;CHAR(10)&amp;"Prefers: "&amp;H40&amp;CHAR(10)&amp;"Enquiry: "&amp;LEFT(I40,600)&amp;CHAR(10)&amp;CHAR(10)&amp;"Sent from the Preston Mazda enquiry log.","%","%25"),"&amp;","%26")," ","%20"),"#","%23"),CHAR(10),"%0A"),"✉ Email parts"),"")</f>
        <v/>
      </c>
      <c r="U40" s="18" t="str">
        <f aca="false">IF(AND(N40="Yes",O40&lt;&gt;"Yes"),HYPERLINK("mailto:"&amp;Settings!$B$6&amp;"?subject="&amp;SUBSTITUTE(SUBSTITUTE(SUBSTITUTE(SUBSTITUTE(SUBSTITUTE("Customer contact required - "&amp;D40&amp;" "&amp;E40,"%","%25"),"&amp;","%26")," ","%20"),"#","%23"),CHAR(10),"%0A")&amp;"&amp;body="&amp;SUBSTITUTE(SUBSTITUTE(SUBSTITUTE(SUBSTITUTE(SUBSTITUTE("Ref: "&amp;A40&amp;CHAR(10)&amp;"Customer: "&amp;D40&amp;"  "&amp;E40&amp;CHAR(10)&amp;"Phone: "&amp;F40&amp;CHAR(10)&amp;"Email: "&amp;G40&amp;CHAR(10)&amp;"Prefers: "&amp;H40&amp;CHAR(10)&amp;"Enquiry: "&amp;LEFT(I40,600)&amp;CHAR(10)&amp;CHAR(10)&amp;"Sent from the Preston Mazda enquiry log.","%","%25"),"&amp;","%26")," ","%20"),"#","%23"),CHAR(10),"%0A"),"✉ Email advisors"),"")</f>
        <v/>
      </c>
      <c r="V40" s="18" t="str">
        <f aca="false">IF(OR(M40="",IFERROR(INDEX(Staff!$B$4:$B$33,MATCH(M40,Staff!$A$4:$A$33,0)),"")=""),"",HYPERLINK("mailto:"&amp;IFERROR(INDEX(Staff!$B$4:$B$33,MATCH(M40,Staff!$A$4:$A$33,0)),"")&amp;"?subject="&amp;SUBSTITUTE(SUBSTITUTE(SUBSTITUTE(SUBSTITUTE(SUBSTITUTE("Enquiry "&amp;A40&amp;" allocated to you - "&amp;D40,"%","%25"),"&amp;","%26")," ","%20"),"#","%23"),CHAR(10),"%0A")&amp;"&amp;body="&amp;SUBSTITUTE(SUBSTITUTE(SUBSTITUTE(SUBSTITUTE(SUBSTITUTE("Ref: "&amp;A40&amp;CHAR(10)&amp;"Customer: "&amp;D40&amp;"  "&amp;E40&amp;CHAR(10)&amp;"Phone: "&amp;F40&amp;CHAR(10)&amp;"Email: "&amp;G40&amp;CHAR(10)&amp;"Prefers: "&amp;H40&amp;CHAR(10)&amp;"Enquiry: "&amp;LEFT(I40,600)&amp;CHAR(10)&amp;CHAR(10)&amp;"Sent from the Preston Mazda enquiry log.","%","%25"),"&amp;","%26")," ","%20"),"#","%23"),CHAR(10),"%0A"),"✉ Email "&amp;M40))</f>
        <v/>
      </c>
      <c r="W40" s="18" t="str">
        <f aca="false">IF(OR(P40="",IFERROR(INDEX(Staff!$E$4:$E$33,MATCH(P40,Staff!$D$4:$D$33,0)),"")=""),"",HYPERLINK("mailto:"&amp;IFERROR(INDEX(Staff!$E$4:$E$33,MATCH(P40,Staff!$D$4:$D$33,0)),"")&amp;"?subject="&amp;SUBSTITUTE(SUBSTITUTE(SUBSTITUTE(SUBSTITUTE(SUBSTITUTE("Parts quote "&amp;A40&amp;" allocated to you - "&amp;D40,"%","%25"),"&amp;","%26")," ","%20"),"#","%23"),CHAR(10),"%0A")&amp;"&amp;body="&amp;SUBSTITUTE(SUBSTITUTE(SUBSTITUTE(SUBSTITUTE(SUBSTITUTE("Ref: "&amp;A40&amp;CHAR(10)&amp;"Customer: "&amp;D40&amp;"  "&amp;E40&amp;CHAR(10)&amp;"Phone: "&amp;F40&amp;CHAR(10)&amp;"Email: "&amp;G40&amp;CHAR(10)&amp;"Prefers: "&amp;H40&amp;CHAR(10)&amp;"Enquiry: "&amp;LEFT(I40,600)&amp;CHAR(10)&amp;CHAR(10)&amp;"Sent from the Preston Mazda enquiry log.","%","%25"),"&amp;","%26")," ","%20"),"#","%23"),CHAR(10),"%0A"),"✉ Email "&amp;P40))</f>
        <v/>
      </c>
    </row>
    <row r="41" customFormat="false" ht="15" hidden="false" customHeight="false" outlineLevel="0" collapsed="false">
      <c r="A41" s="10" t="str">
        <f aca="false">IF(D41="","","E-"&amp;TEXT(ROW()-3,"0000"))</f>
        <v/>
      </c>
      <c r="B41" s="11"/>
      <c r="C41" s="12"/>
      <c r="D41" s="13"/>
      <c r="E41" s="14"/>
      <c r="F41" s="12"/>
      <c r="G41" s="12"/>
      <c r="H41" s="15"/>
      <c r="I41" s="16"/>
      <c r="J41" s="17" t="str">
        <f aca="false">IF(D41="","",HYPERLINK(Settings!$B$7&amp;A41&amp;".pdf","Open "&amp;A41&amp;".pdf"))</f>
        <v/>
      </c>
      <c r="K41" s="16"/>
      <c r="L41" s="12"/>
      <c r="M41" s="12"/>
      <c r="N41" s="15"/>
      <c r="O41" s="15"/>
      <c r="P41" s="12"/>
      <c r="Q41" s="15"/>
      <c r="R41" s="15"/>
      <c r="S41" s="15" t="str">
        <f aca="false">IF(D41="","",IF(AND(O41="Yes",OR(Q41&lt;&gt;"Yes",R41="Yes")),"Complete","Open"))</f>
        <v/>
      </c>
      <c r="T41" s="18" t="str">
        <f aca="false">IF(AND(Q41="Yes",R41&lt;&gt;"Yes"),HYPERLINK("mailto:"&amp;Settings!$B$5&amp;"?subject="&amp;SUBSTITUTE(SUBSTITUTE(SUBSTITUTE(SUBSTITUTE(SUBSTITUTE("Parts quote required - "&amp;D41&amp;" "&amp;E41,"%","%25"),"&amp;","%26")," ","%20"),"#","%23"),CHAR(10),"%0A")&amp;"&amp;body="&amp;SUBSTITUTE(SUBSTITUTE(SUBSTITUTE(SUBSTITUTE(SUBSTITUTE("Ref: "&amp;A41&amp;CHAR(10)&amp;"Customer: "&amp;D41&amp;"  "&amp;E41&amp;CHAR(10)&amp;"Phone: "&amp;F41&amp;CHAR(10)&amp;"Email: "&amp;G41&amp;CHAR(10)&amp;"Prefers: "&amp;H41&amp;CHAR(10)&amp;"Enquiry: "&amp;LEFT(I41,600)&amp;CHAR(10)&amp;CHAR(10)&amp;"Sent from the Preston Mazda enquiry log.","%","%25"),"&amp;","%26")," ","%20"),"#","%23"),CHAR(10),"%0A"),"✉ Email parts"),"")</f>
        <v/>
      </c>
      <c r="U41" s="18" t="str">
        <f aca="false">IF(AND(N41="Yes",O41&lt;&gt;"Yes"),HYPERLINK("mailto:"&amp;Settings!$B$6&amp;"?subject="&amp;SUBSTITUTE(SUBSTITUTE(SUBSTITUTE(SUBSTITUTE(SUBSTITUTE("Customer contact required - "&amp;D41&amp;" "&amp;E41,"%","%25"),"&amp;","%26")," ","%20"),"#","%23"),CHAR(10),"%0A")&amp;"&amp;body="&amp;SUBSTITUTE(SUBSTITUTE(SUBSTITUTE(SUBSTITUTE(SUBSTITUTE("Ref: "&amp;A41&amp;CHAR(10)&amp;"Customer: "&amp;D41&amp;"  "&amp;E41&amp;CHAR(10)&amp;"Phone: "&amp;F41&amp;CHAR(10)&amp;"Email: "&amp;G41&amp;CHAR(10)&amp;"Prefers: "&amp;H41&amp;CHAR(10)&amp;"Enquiry: "&amp;LEFT(I41,600)&amp;CHAR(10)&amp;CHAR(10)&amp;"Sent from the Preston Mazda enquiry log.","%","%25"),"&amp;","%26")," ","%20"),"#","%23"),CHAR(10),"%0A"),"✉ Email advisors"),"")</f>
        <v/>
      </c>
      <c r="V41" s="18" t="str">
        <f aca="false">IF(OR(M41="",IFERROR(INDEX(Staff!$B$4:$B$33,MATCH(M41,Staff!$A$4:$A$33,0)),"")=""),"",HYPERLINK("mailto:"&amp;IFERROR(INDEX(Staff!$B$4:$B$33,MATCH(M41,Staff!$A$4:$A$33,0)),"")&amp;"?subject="&amp;SUBSTITUTE(SUBSTITUTE(SUBSTITUTE(SUBSTITUTE(SUBSTITUTE("Enquiry "&amp;A41&amp;" allocated to you - "&amp;D41,"%","%25"),"&amp;","%26")," ","%20"),"#","%23"),CHAR(10),"%0A")&amp;"&amp;body="&amp;SUBSTITUTE(SUBSTITUTE(SUBSTITUTE(SUBSTITUTE(SUBSTITUTE("Ref: "&amp;A41&amp;CHAR(10)&amp;"Customer: "&amp;D41&amp;"  "&amp;E41&amp;CHAR(10)&amp;"Phone: "&amp;F41&amp;CHAR(10)&amp;"Email: "&amp;G41&amp;CHAR(10)&amp;"Prefers: "&amp;H41&amp;CHAR(10)&amp;"Enquiry: "&amp;LEFT(I41,600)&amp;CHAR(10)&amp;CHAR(10)&amp;"Sent from the Preston Mazda enquiry log.","%","%25"),"&amp;","%26")," ","%20"),"#","%23"),CHAR(10),"%0A"),"✉ Email "&amp;M41))</f>
        <v/>
      </c>
      <c r="W41" s="18" t="str">
        <f aca="false">IF(OR(P41="",IFERROR(INDEX(Staff!$E$4:$E$33,MATCH(P41,Staff!$D$4:$D$33,0)),"")=""),"",HYPERLINK("mailto:"&amp;IFERROR(INDEX(Staff!$E$4:$E$33,MATCH(P41,Staff!$D$4:$D$33,0)),"")&amp;"?subject="&amp;SUBSTITUTE(SUBSTITUTE(SUBSTITUTE(SUBSTITUTE(SUBSTITUTE("Parts quote "&amp;A41&amp;" allocated to you - "&amp;D41,"%","%25"),"&amp;","%26")," ","%20"),"#","%23"),CHAR(10),"%0A")&amp;"&amp;body="&amp;SUBSTITUTE(SUBSTITUTE(SUBSTITUTE(SUBSTITUTE(SUBSTITUTE("Ref: "&amp;A41&amp;CHAR(10)&amp;"Customer: "&amp;D41&amp;"  "&amp;E41&amp;CHAR(10)&amp;"Phone: "&amp;F41&amp;CHAR(10)&amp;"Email: "&amp;G41&amp;CHAR(10)&amp;"Prefers: "&amp;H41&amp;CHAR(10)&amp;"Enquiry: "&amp;LEFT(I41,600)&amp;CHAR(10)&amp;CHAR(10)&amp;"Sent from the Preston Mazda enquiry log.","%","%25"),"&amp;","%26")," ","%20"),"#","%23"),CHAR(10),"%0A"),"✉ Email "&amp;P41))</f>
        <v/>
      </c>
    </row>
    <row r="42" customFormat="false" ht="15" hidden="false" customHeight="false" outlineLevel="0" collapsed="false">
      <c r="A42" s="10" t="str">
        <f aca="false">IF(D42="","","E-"&amp;TEXT(ROW()-3,"0000"))</f>
        <v/>
      </c>
      <c r="B42" s="11"/>
      <c r="C42" s="12"/>
      <c r="D42" s="13"/>
      <c r="E42" s="14"/>
      <c r="F42" s="12"/>
      <c r="G42" s="12"/>
      <c r="H42" s="15"/>
      <c r="I42" s="16"/>
      <c r="J42" s="17" t="str">
        <f aca="false">IF(D42="","",HYPERLINK(Settings!$B$7&amp;A42&amp;".pdf","Open "&amp;A42&amp;".pdf"))</f>
        <v/>
      </c>
      <c r="K42" s="16"/>
      <c r="L42" s="12"/>
      <c r="M42" s="12"/>
      <c r="N42" s="15"/>
      <c r="O42" s="15"/>
      <c r="P42" s="12"/>
      <c r="Q42" s="15"/>
      <c r="R42" s="15"/>
      <c r="S42" s="15" t="str">
        <f aca="false">IF(D42="","",IF(AND(O42="Yes",OR(Q42&lt;&gt;"Yes",R42="Yes")),"Complete","Open"))</f>
        <v/>
      </c>
      <c r="T42" s="18" t="str">
        <f aca="false">IF(AND(Q42="Yes",R42&lt;&gt;"Yes"),HYPERLINK("mailto:"&amp;Settings!$B$5&amp;"?subject="&amp;SUBSTITUTE(SUBSTITUTE(SUBSTITUTE(SUBSTITUTE(SUBSTITUTE("Parts quote required - "&amp;D42&amp;" "&amp;E42,"%","%25"),"&amp;","%26")," ","%20"),"#","%23"),CHAR(10),"%0A")&amp;"&amp;body="&amp;SUBSTITUTE(SUBSTITUTE(SUBSTITUTE(SUBSTITUTE(SUBSTITUTE("Ref: "&amp;A42&amp;CHAR(10)&amp;"Customer: "&amp;D42&amp;"  "&amp;E42&amp;CHAR(10)&amp;"Phone: "&amp;F42&amp;CHAR(10)&amp;"Email: "&amp;G42&amp;CHAR(10)&amp;"Prefers: "&amp;H42&amp;CHAR(10)&amp;"Enquiry: "&amp;LEFT(I42,600)&amp;CHAR(10)&amp;CHAR(10)&amp;"Sent from the Preston Mazda enquiry log.","%","%25"),"&amp;","%26")," ","%20"),"#","%23"),CHAR(10),"%0A"),"✉ Email parts"),"")</f>
        <v/>
      </c>
      <c r="U42" s="18" t="str">
        <f aca="false">IF(AND(N42="Yes",O42&lt;&gt;"Yes"),HYPERLINK("mailto:"&amp;Settings!$B$6&amp;"?subject="&amp;SUBSTITUTE(SUBSTITUTE(SUBSTITUTE(SUBSTITUTE(SUBSTITUTE("Customer contact required - "&amp;D42&amp;" "&amp;E42,"%","%25"),"&amp;","%26")," ","%20"),"#","%23"),CHAR(10),"%0A")&amp;"&amp;body="&amp;SUBSTITUTE(SUBSTITUTE(SUBSTITUTE(SUBSTITUTE(SUBSTITUTE("Ref: "&amp;A42&amp;CHAR(10)&amp;"Customer: "&amp;D42&amp;"  "&amp;E42&amp;CHAR(10)&amp;"Phone: "&amp;F42&amp;CHAR(10)&amp;"Email: "&amp;G42&amp;CHAR(10)&amp;"Prefers: "&amp;H42&amp;CHAR(10)&amp;"Enquiry: "&amp;LEFT(I42,600)&amp;CHAR(10)&amp;CHAR(10)&amp;"Sent from the Preston Mazda enquiry log.","%","%25"),"&amp;","%26")," ","%20"),"#","%23"),CHAR(10),"%0A"),"✉ Email advisors"),"")</f>
        <v/>
      </c>
      <c r="V42" s="18" t="str">
        <f aca="false">IF(OR(M42="",IFERROR(INDEX(Staff!$B$4:$B$33,MATCH(M42,Staff!$A$4:$A$33,0)),"")=""),"",HYPERLINK("mailto:"&amp;IFERROR(INDEX(Staff!$B$4:$B$33,MATCH(M42,Staff!$A$4:$A$33,0)),"")&amp;"?subject="&amp;SUBSTITUTE(SUBSTITUTE(SUBSTITUTE(SUBSTITUTE(SUBSTITUTE("Enquiry "&amp;A42&amp;" allocated to you - "&amp;D42,"%","%25"),"&amp;","%26")," ","%20"),"#","%23"),CHAR(10),"%0A")&amp;"&amp;body="&amp;SUBSTITUTE(SUBSTITUTE(SUBSTITUTE(SUBSTITUTE(SUBSTITUTE("Ref: "&amp;A42&amp;CHAR(10)&amp;"Customer: "&amp;D42&amp;"  "&amp;E42&amp;CHAR(10)&amp;"Phone: "&amp;F42&amp;CHAR(10)&amp;"Email: "&amp;G42&amp;CHAR(10)&amp;"Prefers: "&amp;H42&amp;CHAR(10)&amp;"Enquiry: "&amp;LEFT(I42,600)&amp;CHAR(10)&amp;CHAR(10)&amp;"Sent from the Preston Mazda enquiry log.","%","%25"),"&amp;","%26")," ","%20"),"#","%23"),CHAR(10),"%0A"),"✉ Email "&amp;M42))</f>
        <v/>
      </c>
      <c r="W42" s="18" t="str">
        <f aca="false">IF(OR(P42="",IFERROR(INDEX(Staff!$E$4:$E$33,MATCH(P42,Staff!$D$4:$D$33,0)),"")=""),"",HYPERLINK("mailto:"&amp;IFERROR(INDEX(Staff!$E$4:$E$33,MATCH(P42,Staff!$D$4:$D$33,0)),"")&amp;"?subject="&amp;SUBSTITUTE(SUBSTITUTE(SUBSTITUTE(SUBSTITUTE(SUBSTITUTE("Parts quote "&amp;A42&amp;" allocated to you - "&amp;D42,"%","%25"),"&amp;","%26")," ","%20"),"#","%23"),CHAR(10),"%0A")&amp;"&amp;body="&amp;SUBSTITUTE(SUBSTITUTE(SUBSTITUTE(SUBSTITUTE(SUBSTITUTE("Ref: "&amp;A42&amp;CHAR(10)&amp;"Customer: "&amp;D42&amp;"  "&amp;E42&amp;CHAR(10)&amp;"Phone: "&amp;F42&amp;CHAR(10)&amp;"Email: "&amp;G42&amp;CHAR(10)&amp;"Prefers: "&amp;H42&amp;CHAR(10)&amp;"Enquiry: "&amp;LEFT(I42,600)&amp;CHAR(10)&amp;CHAR(10)&amp;"Sent from the Preston Mazda enquiry log.","%","%25"),"&amp;","%26")," ","%20"),"#","%23"),CHAR(10),"%0A"),"✉ Email "&amp;P42))</f>
        <v/>
      </c>
    </row>
    <row r="43" customFormat="false" ht="15" hidden="false" customHeight="false" outlineLevel="0" collapsed="false">
      <c r="A43" s="10" t="str">
        <f aca="false">IF(D43="","","E-"&amp;TEXT(ROW()-3,"0000"))</f>
        <v/>
      </c>
      <c r="B43" s="11"/>
      <c r="C43" s="12"/>
      <c r="D43" s="13"/>
      <c r="E43" s="14"/>
      <c r="F43" s="12"/>
      <c r="G43" s="12"/>
      <c r="H43" s="15"/>
      <c r="I43" s="16"/>
      <c r="J43" s="17" t="str">
        <f aca="false">IF(D43="","",HYPERLINK(Settings!$B$7&amp;A43&amp;".pdf","Open "&amp;A43&amp;".pdf"))</f>
        <v/>
      </c>
      <c r="K43" s="16"/>
      <c r="L43" s="12"/>
      <c r="M43" s="12"/>
      <c r="N43" s="15"/>
      <c r="O43" s="15"/>
      <c r="P43" s="12"/>
      <c r="Q43" s="15"/>
      <c r="R43" s="15"/>
      <c r="S43" s="15" t="str">
        <f aca="false">IF(D43="","",IF(AND(O43="Yes",OR(Q43&lt;&gt;"Yes",R43="Yes")),"Complete","Open"))</f>
        <v/>
      </c>
      <c r="T43" s="18" t="str">
        <f aca="false">IF(AND(Q43="Yes",R43&lt;&gt;"Yes"),HYPERLINK("mailto:"&amp;Settings!$B$5&amp;"?subject="&amp;SUBSTITUTE(SUBSTITUTE(SUBSTITUTE(SUBSTITUTE(SUBSTITUTE("Parts quote required - "&amp;D43&amp;" "&amp;E43,"%","%25"),"&amp;","%26")," ","%20"),"#","%23"),CHAR(10),"%0A")&amp;"&amp;body="&amp;SUBSTITUTE(SUBSTITUTE(SUBSTITUTE(SUBSTITUTE(SUBSTITUTE("Ref: "&amp;A43&amp;CHAR(10)&amp;"Customer: "&amp;D43&amp;"  "&amp;E43&amp;CHAR(10)&amp;"Phone: "&amp;F43&amp;CHAR(10)&amp;"Email: "&amp;G43&amp;CHAR(10)&amp;"Prefers: "&amp;H43&amp;CHAR(10)&amp;"Enquiry: "&amp;LEFT(I43,600)&amp;CHAR(10)&amp;CHAR(10)&amp;"Sent from the Preston Mazda enquiry log.","%","%25"),"&amp;","%26")," ","%20"),"#","%23"),CHAR(10),"%0A"),"✉ Email parts"),"")</f>
        <v/>
      </c>
      <c r="U43" s="18" t="str">
        <f aca="false">IF(AND(N43="Yes",O43&lt;&gt;"Yes"),HYPERLINK("mailto:"&amp;Settings!$B$6&amp;"?subject="&amp;SUBSTITUTE(SUBSTITUTE(SUBSTITUTE(SUBSTITUTE(SUBSTITUTE("Customer contact required - "&amp;D43&amp;" "&amp;E43,"%","%25"),"&amp;","%26")," ","%20"),"#","%23"),CHAR(10),"%0A")&amp;"&amp;body="&amp;SUBSTITUTE(SUBSTITUTE(SUBSTITUTE(SUBSTITUTE(SUBSTITUTE("Ref: "&amp;A43&amp;CHAR(10)&amp;"Customer: "&amp;D43&amp;"  "&amp;E43&amp;CHAR(10)&amp;"Phone: "&amp;F43&amp;CHAR(10)&amp;"Email: "&amp;G43&amp;CHAR(10)&amp;"Prefers: "&amp;H43&amp;CHAR(10)&amp;"Enquiry: "&amp;LEFT(I43,600)&amp;CHAR(10)&amp;CHAR(10)&amp;"Sent from the Preston Mazda enquiry log.","%","%25"),"&amp;","%26")," ","%20"),"#","%23"),CHAR(10),"%0A"),"✉ Email advisors"),"")</f>
        <v/>
      </c>
      <c r="V43" s="18" t="str">
        <f aca="false">IF(OR(M43="",IFERROR(INDEX(Staff!$B$4:$B$33,MATCH(M43,Staff!$A$4:$A$33,0)),"")=""),"",HYPERLINK("mailto:"&amp;IFERROR(INDEX(Staff!$B$4:$B$33,MATCH(M43,Staff!$A$4:$A$33,0)),"")&amp;"?subject="&amp;SUBSTITUTE(SUBSTITUTE(SUBSTITUTE(SUBSTITUTE(SUBSTITUTE("Enquiry "&amp;A43&amp;" allocated to you - "&amp;D43,"%","%25"),"&amp;","%26")," ","%20"),"#","%23"),CHAR(10),"%0A")&amp;"&amp;body="&amp;SUBSTITUTE(SUBSTITUTE(SUBSTITUTE(SUBSTITUTE(SUBSTITUTE("Ref: "&amp;A43&amp;CHAR(10)&amp;"Customer: "&amp;D43&amp;"  "&amp;E43&amp;CHAR(10)&amp;"Phone: "&amp;F43&amp;CHAR(10)&amp;"Email: "&amp;G43&amp;CHAR(10)&amp;"Prefers: "&amp;H43&amp;CHAR(10)&amp;"Enquiry: "&amp;LEFT(I43,600)&amp;CHAR(10)&amp;CHAR(10)&amp;"Sent from the Preston Mazda enquiry log.","%","%25"),"&amp;","%26")," ","%20"),"#","%23"),CHAR(10),"%0A"),"✉ Email "&amp;M43))</f>
        <v/>
      </c>
      <c r="W43" s="18" t="str">
        <f aca="false">IF(OR(P43="",IFERROR(INDEX(Staff!$E$4:$E$33,MATCH(P43,Staff!$D$4:$D$33,0)),"")=""),"",HYPERLINK("mailto:"&amp;IFERROR(INDEX(Staff!$E$4:$E$33,MATCH(P43,Staff!$D$4:$D$33,0)),"")&amp;"?subject="&amp;SUBSTITUTE(SUBSTITUTE(SUBSTITUTE(SUBSTITUTE(SUBSTITUTE("Parts quote "&amp;A43&amp;" allocated to you - "&amp;D43,"%","%25"),"&amp;","%26")," ","%20"),"#","%23"),CHAR(10),"%0A")&amp;"&amp;body="&amp;SUBSTITUTE(SUBSTITUTE(SUBSTITUTE(SUBSTITUTE(SUBSTITUTE("Ref: "&amp;A43&amp;CHAR(10)&amp;"Customer: "&amp;D43&amp;"  "&amp;E43&amp;CHAR(10)&amp;"Phone: "&amp;F43&amp;CHAR(10)&amp;"Email: "&amp;G43&amp;CHAR(10)&amp;"Prefers: "&amp;H43&amp;CHAR(10)&amp;"Enquiry: "&amp;LEFT(I43,600)&amp;CHAR(10)&amp;CHAR(10)&amp;"Sent from the Preston Mazda enquiry log.","%","%25"),"&amp;","%26")," ","%20"),"#","%23"),CHAR(10),"%0A"),"✉ Email "&amp;P43))</f>
        <v/>
      </c>
    </row>
    <row r="44" customFormat="false" ht="15" hidden="false" customHeight="false" outlineLevel="0" collapsed="false">
      <c r="A44" s="10" t="str">
        <f aca="false">IF(D44="","","E-"&amp;TEXT(ROW()-3,"0000"))</f>
        <v/>
      </c>
      <c r="B44" s="11"/>
      <c r="C44" s="12"/>
      <c r="D44" s="13"/>
      <c r="E44" s="14"/>
      <c r="F44" s="12"/>
      <c r="G44" s="12"/>
      <c r="H44" s="15"/>
      <c r="I44" s="16"/>
      <c r="J44" s="17" t="str">
        <f aca="false">IF(D44="","",HYPERLINK(Settings!$B$7&amp;A44&amp;".pdf","Open "&amp;A44&amp;".pdf"))</f>
        <v/>
      </c>
      <c r="K44" s="16"/>
      <c r="L44" s="12"/>
      <c r="M44" s="12"/>
      <c r="N44" s="15"/>
      <c r="O44" s="15"/>
      <c r="P44" s="12"/>
      <c r="Q44" s="15"/>
      <c r="R44" s="15"/>
      <c r="S44" s="15" t="str">
        <f aca="false">IF(D44="","",IF(AND(O44="Yes",OR(Q44&lt;&gt;"Yes",R44="Yes")),"Complete","Open"))</f>
        <v/>
      </c>
      <c r="T44" s="18" t="str">
        <f aca="false">IF(AND(Q44="Yes",R44&lt;&gt;"Yes"),HYPERLINK("mailto:"&amp;Settings!$B$5&amp;"?subject="&amp;SUBSTITUTE(SUBSTITUTE(SUBSTITUTE(SUBSTITUTE(SUBSTITUTE("Parts quote required - "&amp;D44&amp;" "&amp;E44,"%","%25"),"&amp;","%26")," ","%20"),"#","%23"),CHAR(10),"%0A")&amp;"&amp;body="&amp;SUBSTITUTE(SUBSTITUTE(SUBSTITUTE(SUBSTITUTE(SUBSTITUTE("Ref: "&amp;A44&amp;CHAR(10)&amp;"Customer: "&amp;D44&amp;"  "&amp;E44&amp;CHAR(10)&amp;"Phone: "&amp;F44&amp;CHAR(10)&amp;"Email: "&amp;G44&amp;CHAR(10)&amp;"Prefers: "&amp;H44&amp;CHAR(10)&amp;"Enquiry: "&amp;LEFT(I44,600)&amp;CHAR(10)&amp;CHAR(10)&amp;"Sent from the Preston Mazda enquiry log.","%","%25"),"&amp;","%26")," ","%20"),"#","%23"),CHAR(10),"%0A"),"✉ Email parts"),"")</f>
        <v/>
      </c>
      <c r="U44" s="18" t="str">
        <f aca="false">IF(AND(N44="Yes",O44&lt;&gt;"Yes"),HYPERLINK("mailto:"&amp;Settings!$B$6&amp;"?subject="&amp;SUBSTITUTE(SUBSTITUTE(SUBSTITUTE(SUBSTITUTE(SUBSTITUTE("Customer contact required - "&amp;D44&amp;" "&amp;E44,"%","%25"),"&amp;","%26")," ","%20"),"#","%23"),CHAR(10),"%0A")&amp;"&amp;body="&amp;SUBSTITUTE(SUBSTITUTE(SUBSTITUTE(SUBSTITUTE(SUBSTITUTE("Ref: "&amp;A44&amp;CHAR(10)&amp;"Customer: "&amp;D44&amp;"  "&amp;E44&amp;CHAR(10)&amp;"Phone: "&amp;F44&amp;CHAR(10)&amp;"Email: "&amp;G44&amp;CHAR(10)&amp;"Prefers: "&amp;H44&amp;CHAR(10)&amp;"Enquiry: "&amp;LEFT(I44,600)&amp;CHAR(10)&amp;CHAR(10)&amp;"Sent from the Preston Mazda enquiry log.","%","%25"),"&amp;","%26")," ","%20"),"#","%23"),CHAR(10),"%0A"),"✉ Email advisors"),"")</f>
        <v/>
      </c>
      <c r="V44" s="18" t="str">
        <f aca="false">IF(OR(M44="",IFERROR(INDEX(Staff!$B$4:$B$33,MATCH(M44,Staff!$A$4:$A$33,0)),"")=""),"",HYPERLINK("mailto:"&amp;IFERROR(INDEX(Staff!$B$4:$B$33,MATCH(M44,Staff!$A$4:$A$33,0)),"")&amp;"?subject="&amp;SUBSTITUTE(SUBSTITUTE(SUBSTITUTE(SUBSTITUTE(SUBSTITUTE("Enquiry "&amp;A44&amp;" allocated to you - "&amp;D44,"%","%25"),"&amp;","%26")," ","%20"),"#","%23"),CHAR(10),"%0A")&amp;"&amp;body="&amp;SUBSTITUTE(SUBSTITUTE(SUBSTITUTE(SUBSTITUTE(SUBSTITUTE("Ref: "&amp;A44&amp;CHAR(10)&amp;"Customer: "&amp;D44&amp;"  "&amp;E44&amp;CHAR(10)&amp;"Phone: "&amp;F44&amp;CHAR(10)&amp;"Email: "&amp;G44&amp;CHAR(10)&amp;"Prefers: "&amp;H44&amp;CHAR(10)&amp;"Enquiry: "&amp;LEFT(I44,600)&amp;CHAR(10)&amp;CHAR(10)&amp;"Sent from the Preston Mazda enquiry log.","%","%25"),"&amp;","%26")," ","%20"),"#","%23"),CHAR(10),"%0A"),"✉ Email "&amp;M44))</f>
        <v/>
      </c>
      <c r="W44" s="18" t="str">
        <f aca="false">IF(OR(P44="",IFERROR(INDEX(Staff!$E$4:$E$33,MATCH(P44,Staff!$D$4:$D$33,0)),"")=""),"",HYPERLINK("mailto:"&amp;IFERROR(INDEX(Staff!$E$4:$E$33,MATCH(P44,Staff!$D$4:$D$33,0)),"")&amp;"?subject="&amp;SUBSTITUTE(SUBSTITUTE(SUBSTITUTE(SUBSTITUTE(SUBSTITUTE("Parts quote "&amp;A44&amp;" allocated to you - "&amp;D44,"%","%25"),"&amp;","%26")," ","%20"),"#","%23"),CHAR(10),"%0A")&amp;"&amp;body="&amp;SUBSTITUTE(SUBSTITUTE(SUBSTITUTE(SUBSTITUTE(SUBSTITUTE("Ref: "&amp;A44&amp;CHAR(10)&amp;"Customer: "&amp;D44&amp;"  "&amp;E44&amp;CHAR(10)&amp;"Phone: "&amp;F44&amp;CHAR(10)&amp;"Email: "&amp;G44&amp;CHAR(10)&amp;"Prefers: "&amp;H44&amp;CHAR(10)&amp;"Enquiry: "&amp;LEFT(I44,600)&amp;CHAR(10)&amp;CHAR(10)&amp;"Sent from the Preston Mazda enquiry log.","%","%25"),"&amp;","%26")," ","%20"),"#","%23"),CHAR(10),"%0A"),"✉ Email "&amp;P44))</f>
        <v/>
      </c>
    </row>
    <row r="45" customFormat="false" ht="15" hidden="false" customHeight="false" outlineLevel="0" collapsed="false">
      <c r="A45" s="10" t="str">
        <f aca="false">IF(D45="","","E-"&amp;TEXT(ROW()-3,"0000"))</f>
        <v/>
      </c>
      <c r="B45" s="11"/>
      <c r="C45" s="12"/>
      <c r="D45" s="13"/>
      <c r="E45" s="14"/>
      <c r="F45" s="12"/>
      <c r="G45" s="12"/>
      <c r="H45" s="15"/>
      <c r="I45" s="16"/>
      <c r="J45" s="17" t="str">
        <f aca="false">IF(D45="","",HYPERLINK(Settings!$B$7&amp;A45&amp;".pdf","Open "&amp;A45&amp;".pdf"))</f>
        <v/>
      </c>
      <c r="K45" s="16"/>
      <c r="L45" s="12"/>
      <c r="M45" s="12"/>
      <c r="N45" s="15"/>
      <c r="O45" s="15"/>
      <c r="P45" s="12"/>
      <c r="Q45" s="15"/>
      <c r="R45" s="15"/>
      <c r="S45" s="15" t="str">
        <f aca="false">IF(D45="","",IF(AND(O45="Yes",OR(Q45&lt;&gt;"Yes",R45="Yes")),"Complete","Open"))</f>
        <v/>
      </c>
      <c r="T45" s="18" t="str">
        <f aca="false">IF(AND(Q45="Yes",R45&lt;&gt;"Yes"),HYPERLINK("mailto:"&amp;Settings!$B$5&amp;"?subject="&amp;SUBSTITUTE(SUBSTITUTE(SUBSTITUTE(SUBSTITUTE(SUBSTITUTE("Parts quote required - "&amp;D45&amp;" "&amp;E45,"%","%25"),"&amp;","%26")," ","%20"),"#","%23"),CHAR(10),"%0A")&amp;"&amp;body="&amp;SUBSTITUTE(SUBSTITUTE(SUBSTITUTE(SUBSTITUTE(SUBSTITUTE("Ref: "&amp;A45&amp;CHAR(10)&amp;"Customer: "&amp;D45&amp;"  "&amp;E45&amp;CHAR(10)&amp;"Phone: "&amp;F45&amp;CHAR(10)&amp;"Email: "&amp;G45&amp;CHAR(10)&amp;"Prefers: "&amp;H45&amp;CHAR(10)&amp;"Enquiry: "&amp;LEFT(I45,600)&amp;CHAR(10)&amp;CHAR(10)&amp;"Sent from the Preston Mazda enquiry log.","%","%25"),"&amp;","%26")," ","%20"),"#","%23"),CHAR(10),"%0A"),"✉ Email parts"),"")</f>
        <v/>
      </c>
      <c r="U45" s="18" t="str">
        <f aca="false">IF(AND(N45="Yes",O45&lt;&gt;"Yes"),HYPERLINK("mailto:"&amp;Settings!$B$6&amp;"?subject="&amp;SUBSTITUTE(SUBSTITUTE(SUBSTITUTE(SUBSTITUTE(SUBSTITUTE("Customer contact required - "&amp;D45&amp;" "&amp;E45,"%","%25"),"&amp;","%26")," ","%20"),"#","%23"),CHAR(10),"%0A")&amp;"&amp;body="&amp;SUBSTITUTE(SUBSTITUTE(SUBSTITUTE(SUBSTITUTE(SUBSTITUTE("Ref: "&amp;A45&amp;CHAR(10)&amp;"Customer: "&amp;D45&amp;"  "&amp;E45&amp;CHAR(10)&amp;"Phone: "&amp;F45&amp;CHAR(10)&amp;"Email: "&amp;G45&amp;CHAR(10)&amp;"Prefers: "&amp;H45&amp;CHAR(10)&amp;"Enquiry: "&amp;LEFT(I45,600)&amp;CHAR(10)&amp;CHAR(10)&amp;"Sent from the Preston Mazda enquiry log.","%","%25"),"&amp;","%26")," ","%20"),"#","%23"),CHAR(10),"%0A"),"✉ Email advisors"),"")</f>
        <v/>
      </c>
      <c r="V45" s="18" t="str">
        <f aca="false">IF(OR(M45="",IFERROR(INDEX(Staff!$B$4:$B$33,MATCH(M45,Staff!$A$4:$A$33,0)),"")=""),"",HYPERLINK("mailto:"&amp;IFERROR(INDEX(Staff!$B$4:$B$33,MATCH(M45,Staff!$A$4:$A$33,0)),"")&amp;"?subject="&amp;SUBSTITUTE(SUBSTITUTE(SUBSTITUTE(SUBSTITUTE(SUBSTITUTE("Enquiry "&amp;A45&amp;" allocated to you - "&amp;D45,"%","%25"),"&amp;","%26")," ","%20"),"#","%23"),CHAR(10),"%0A")&amp;"&amp;body="&amp;SUBSTITUTE(SUBSTITUTE(SUBSTITUTE(SUBSTITUTE(SUBSTITUTE("Ref: "&amp;A45&amp;CHAR(10)&amp;"Customer: "&amp;D45&amp;"  "&amp;E45&amp;CHAR(10)&amp;"Phone: "&amp;F45&amp;CHAR(10)&amp;"Email: "&amp;G45&amp;CHAR(10)&amp;"Prefers: "&amp;H45&amp;CHAR(10)&amp;"Enquiry: "&amp;LEFT(I45,600)&amp;CHAR(10)&amp;CHAR(10)&amp;"Sent from the Preston Mazda enquiry log.","%","%25"),"&amp;","%26")," ","%20"),"#","%23"),CHAR(10),"%0A"),"✉ Email "&amp;M45))</f>
        <v/>
      </c>
      <c r="W45" s="18" t="str">
        <f aca="false">IF(OR(P45="",IFERROR(INDEX(Staff!$E$4:$E$33,MATCH(P45,Staff!$D$4:$D$33,0)),"")=""),"",HYPERLINK("mailto:"&amp;IFERROR(INDEX(Staff!$E$4:$E$33,MATCH(P45,Staff!$D$4:$D$33,0)),"")&amp;"?subject="&amp;SUBSTITUTE(SUBSTITUTE(SUBSTITUTE(SUBSTITUTE(SUBSTITUTE("Parts quote "&amp;A45&amp;" allocated to you - "&amp;D45,"%","%25"),"&amp;","%26")," ","%20"),"#","%23"),CHAR(10),"%0A")&amp;"&amp;body="&amp;SUBSTITUTE(SUBSTITUTE(SUBSTITUTE(SUBSTITUTE(SUBSTITUTE("Ref: "&amp;A45&amp;CHAR(10)&amp;"Customer: "&amp;D45&amp;"  "&amp;E45&amp;CHAR(10)&amp;"Phone: "&amp;F45&amp;CHAR(10)&amp;"Email: "&amp;G45&amp;CHAR(10)&amp;"Prefers: "&amp;H45&amp;CHAR(10)&amp;"Enquiry: "&amp;LEFT(I45,600)&amp;CHAR(10)&amp;CHAR(10)&amp;"Sent from the Preston Mazda enquiry log.","%","%25"),"&amp;","%26")," ","%20"),"#","%23"),CHAR(10),"%0A"),"✉ Email "&amp;P45))</f>
        <v/>
      </c>
    </row>
    <row r="46" customFormat="false" ht="15" hidden="false" customHeight="false" outlineLevel="0" collapsed="false">
      <c r="A46" s="10" t="str">
        <f aca="false">IF(D46="","","E-"&amp;TEXT(ROW()-3,"0000"))</f>
        <v/>
      </c>
      <c r="B46" s="11"/>
      <c r="C46" s="12"/>
      <c r="D46" s="13"/>
      <c r="E46" s="14"/>
      <c r="F46" s="12"/>
      <c r="G46" s="12"/>
      <c r="H46" s="15"/>
      <c r="I46" s="16"/>
      <c r="J46" s="17" t="str">
        <f aca="false">IF(D46="","",HYPERLINK(Settings!$B$7&amp;A46&amp;".pdf","Open "&amp;A46&amp;".pdf"))</f>
        <v/>
      </c>
      <c r="K46" s="16"/>
      <c r="L46" s="12"/>
      <c r="M46" s="12"/>
      <c r="N46" s="15"/>
      <c r="O46" s="15"/>
      <c r="P46" s="12"/>
      <c r="Q46" s="15"/>
      <c r="R46" s="15"/>
      <c r="S46" s="15" t="str">
        <f aca="false">IF(D46="","",IF(AND(O46="Yes",OR(Q46&lt;&gt;"Yes",R46="Yes")),"Complete","Open"))</f>
        <v/>
      </c>
      <c r="T46" s="18" t="str">
        <f aca="false">IF(AND(Q46="Yes",R46&lt;&gt;"Yes"),HYPERLINK("mailto:"&amp;Settings!$B$5&amp;"?subject="&amp;SUBSTITUTE(SUBSTITUTE(SUBSTITUTE(SUBSTITUTE(SUBSTITUTE("Parts quote required - "&amp;D46&amp;" "&amp;E46,"%","%25"),"&amp;","%26")," ","%20"),"#","%23"),CHAR(10),"%0A")&amp;"&amp;body="&amp;SUBSTITUTE(SUBSTITUTE(SUBSTITUTE(SUBSTITUTE(SUBSTITUTE("Ref: "&amp;A46&amp;CHAR(10)&amp;"Customer: "&amp;D46&amp;"  "&amp;E46&amp;CHAR(10)&amp;"Phone: "&amp;F46&amp;CHAR(10)&amp;"Email: "&amp;G46&amp;CHAR(10)&amp;"Prefers: "&amp;H46&amp;CHAR(10)&amp;"Enquiry: "&amp;LEFT(I46,600)&amp;CHAR(10)&amp;CHAR(10)&amp;"Sent from the Preston Mazda enquiry log.","%","%25"),"&amp;","%26")," ","%20"),"#","%23"),CHAR(10),"%0A"),"✉ Email parts"),"")</f>
        <v/>
      </c>
      <c r="U46" s="18" t="str">
        <f aca="false">IF(AND(N46="Yes",O46&lt;&gt;"Yes"),HYPERLINK("mailto:"&amp;Settings!$B$6&amp;"?subject="&amp;SUBSTITUTE(SUBSTITUTE(SUBSTITUTE(SUBSTITUTE(SUBSTITUTE("Customer contact required - "&amp;D46&amp;" "&amp;E46,"%","%25"),"&amp;","%26")," ","%20"),"#","%23"),CHAR(10),"%0A")&amp;"&amp;body="&amp;SUBSTITUTE(SUBSTITUTE(SUBSTITUTE(SUBSTITUTE(SUBSTITUTE("Ref: "&amp;A46&amp;CHAR(10)&amp;"Customer: "&amp;D46&amp;"  "&amp;E46&amp;CHAR(10)&amp;"Phone: "&amp;F46&amp;CHAR(10)&amp;"Email: "&amp;G46&amp;CHAR(10)&amp;"Prefers: "&amp;H46&amp;CHAR(10)&amp;"Enquiry: "&amp;LEFT(I46,600)&amp;CHAR(10)&amp;CHAR(10)&amp;"Sent from the Preston Mazda enquiry log.","%","%25"),"&amp;","%26")," ","%20"),"#","%23"),CHAR(10),"%0A"),"✉ Email advisors"),"")</f>
        <v/>
      </c>
      <c r="V46" s="18" t="str">
        <f aca="false">IF(OR(M46="",IFERROR(INDEX(Staff!$B$4:$B$33,MATCH(M46,Staff!$A$4:$A$33,0)),"")=""),"",HYPERLINK("mailto:"&amp;IFERROR(INDEX(Staff!$B$4:$B$33,MATCH(M46,Staff!$A$4:$A$33,0)),"")&amp;"?subject="&amp;SUBSTITUTE(SUBSTITUTE(SUBSTITUTE(SUBSTITUTE(SUBSTITUTE("Enquiry "&amp;A46&amp;" allocated to you - "&amp;D46,"%","%25"),"&amp;","%26")," ","%20"),"#","%23"),CHAR(10),"%0A")&amp;"&amp;body="&amp;SUBSTITUTE(SUBSTITUTE(SUBSTITUTE(SUBSTITUTE(SUBSTITUTE("Ref: "&amp;A46&amp;CHAR(10)&amp;"Customer: "&amp;D46&amp;"  "&amp;E46&amp;CHAR(10)&amp;"Phone: "&amp;F46&amp;CHAR(10)&amp;"Email: "&amp;G46&amp;CHAR(10)&amp;"Prefers: "&amp;H46&amp;CHAR(10)&amp;"Enquiry: "&amp;LEFT(I46,600)&amp;CHAR(10)&amp;CHAR(10)&amp;"Sent from the Preston Mazda enquiry log.","%","%25"),"&amp;","%26")," ","%20"),"#","%23"),CHAR(10),"%0A"),"✉ Email "&amp;M46))</f>
        <v/>
      </c>
      <c r="W46" s="18" t="str">
        <f aca="false">IF(OR(P46="",IFERROR(INDEX(Staff!$E$4:$E$33,MATCH(P46,Staff!$D$4:$D$33,0)),"")=""),"",HYPERLINK("mailto:"&amp;IFERROR(INDEX(Staff!$E$4:$E$33,MATCH(P46,Staff!$D$4:$D$33,0)),"")&amp;"?subject="&amp;SUBSTITUTE(SUBSTITUTE(SUBSTITUTE(SUBSTITUTE(SUBSTITUTE("Parts quote "&amp;A46&amp;" allocated to you - "&amp;D46,"%","%25"),"&amp;","%26")," ","%20"),"#","%23"),CHAR(10),"%0A")&amp;"&amp;body="&amp;SUBSTITUTE(SUBSTITUTE(SUBSTITUTE(SUBSTITUTE(SUBSTITUTE("Ref: "&amp;A46&amp;CHAR(10)&amp;"Customer: "&amp;D46&amp;"  "&amp;E46&amp;CHAR(10)&amp;"Phone: "&amp;F46&amp;CHAR(10)&amp;"Email: "&amp;G46&amp;CHAR(10)&amp;"Prefers: "&amp;H46&amp;CHAR(10)&amp;"Enquiry: "&amp;LEFT(I46,600)&amp;CHAR(10)&amp;CHAR(10)&amp;"Sent from the Preston Mazda enquiry log.","%","%25"),"&amp;","%26")," ","%20"),"#","%23"),CHAR(10),"%0A"),"✉ Email "&amp;P46))</f>
        <v/>
      </c>
    </row>
    <row r="47" customFormat="false" ht="15" hidden="false" customHeight="false" outlineLevel="0" collapsed="false">
      <c r="A47" s="10" t="str">
        <f aca="false">IF(D47="","","E-"&amp;TEXT(ROW()-3,"0000"))</f>
        <v/>
      </c>
      <c r="B47" s="11"/>
      <c r="C47" s="12"/>
      <c r="D47" s="13"/>
      <c r="E47" s="14"/>
      <c r="F47" s="12"/>
      <c r="G47" s="12"/>
      <c r="H47" s="15"/>
      <c r="I47" s="16"/>
      <c r="J47" s="17" t="str">
        <f aca="false">IF(D47="","",HYPERLINK(Settings!$B$7&amp;A47&amp;".pdf","Open "&amp;A47&amp;".pdf"))</f>
        <v/>
      </c>
      <c r="K47" s="16"/>
      <c r="L47" s="12"/>
      <c r="M47" s="12"/>
      <c r="N47" s="15"/>
      <c r="O47" s="15"/>
      <c r="P47" s="12"/>
      <c r="Q47" s="15"/>
      <c r="R47" s="15"/>
      <c r="S47" s="15" t="str">
        <f aca="false">IF(D47="","",IF(AND(O47="Yes",OR(Q47&lt;&gt;"Yes",R47="Yes")),"Complete","Open"))</f>
        <v/>
      </c>
      <c r="T47" s="18" t="str">
        <f aca="false">IF(AND(Q47="Yes",R47&lt;&gt;"Yes"),HYPERLINK("mailto:"&amp;Settings!$B$5&amp;"?subject="&amp;SUBSTITUTE(SUBSTITUTE(SUBSTITUTE(SUBSTITUTE(SUBSTITUTE("Parts quote required - "&amp;D47&amp;" "&amp;E47,"%","%25"),"&amp;","%26")," ","%20"),"#","%23"),CHAR(10),"%0A")&amp;"&amp;body="&amp;SUBSTITUTE(SUBSTITUTE(SUBSTITUTE(SUBSTITUTE(SUBSTITUTE("Ref: "&amp;A47&amp;CHAR(10)&amp;"Customer: "&amp;D47&amp;"  "&amp;E47&amp;CHAR(10)&amp;"Phone: "&amp;F47&amp;CHAR(10)&amp;"Email: "&amp;G47&amp;CHAR(10)&amp;"Prefers: "&amp;H47&amp;CHAR(10)&amp;"Enquiry: "&amp;LEFT(I47,600)&amp;CHAR(10)&amp;CHAR(10)&amp;"Sent from the Preston Mazda enquiry log.","%","%25"),"&amp;","%26")," ","%20"),"#","%23"),CHAR(10),"%0A"),"✉ Email parts"),"")</f>
        <v/>
      </c>
      <c r="U47" s="18" t="str">
        <f aca="false">IF(AND(N47="Yes",O47&lt;&gt;"Yes"),HYPERLINK("mailto:"&amp;Settings!$B$6&amp;"?subject="&amp;SUBSTITUTE(SUBSTITUTE(SUBSTITUTE(SUBSTITUTE(SUBSTITUTE("Customer contact required - "&amp;D47&amp;" "&amp;E47,"%","%25"),"&amp;","%26")," ","%20"),"#","%23"),CHAR(10),"%0A")&amp;"&amp;body="&amp;SUBSTITUTE(SUBSTITUTE(SUBSTITUTE(SUBSTITUTE(SUBSTITUTE("Ref: "&amp;A47&amp;CHAR(10)&amp;"Customer: "&amp;D47&amp;"  "&amp;E47&amp;CHAR(10)&amp;"Phone: "&amp;F47&amp;CHAR(10)&amp;"Email: "&amp;G47&amp;CHAR(10)&amp;"Prefers: "&amp;H47&amp;CHAR(10)&amp;"Enquiry: "&amp;LEFT(I47,600)&amp;CHAR(10)&amp;CHAR(10)&amp;"Sent from the Preston Mazda enquiry log.","%","%25"),"&amp;","%26")," ","%20"),"#","%23"),CHAR(10),"%0A"),"✉ Email advisors"),"")</f>
        <v/>
      </c>
      <c r="V47" s="18" t="str">
        <f aca="false">IF(OR(M47="",IFERROR(INDEX(Staff!$B$4:$B$33,MATCH(M47,Staff!$A$4:$A$33,0)),"")=""),"",HYPERLINK("mailto:"&amp;IFERROR(INDEX(Staff!$B$4:$B$33,MATCH(M47,Staff!$A$4:$A$33,0)),"")&amp;"?subject="&amp;SUBSTITUTE(SUBSTITUTE(SUBSTITUTE(SUBSTITUTE(SUBSTITUTE("Enquiry "&amp;A47&amp;" allocated to you - "&amp;D47,"%","%25"),"&amp;","%26")," ","%20"),"#","%23"),CHAR(10),"%0A")&amp;"&amp;body="&amp;SUBSTITUTE(SUBSTITUTE(SUBSTITUTE(SUBSTITUTE(SUBSTITUTE("Ref: "&amp;A47&amp;CHAR(10)&amp;"Customer: "&amp;D47&amp;"  "&amp;E47&amp;CHAR(10)&amp;"Phone: "&amp;F47&amp;CHAR(10)&amp;"Email: "&amp;G47&amp;CHAR(10)&amp;"Prefers: "&amp;H47&amp;CHAR(10)&amp;"Enquiry: "&amp;LEFT(I47,600)&amp;CHAR(10)&amp;CHAR(10)&amp;"Sent from the Preston Mazda enquiry log.","%","%25"),"&amp;","%26")," ","%20"),"#","%23"),CHAR(10),"%0A"),"✉ Email "&amp;M47))</f>
        <v/>
      </c>
      <c r="W47" s="18" t="str">
        <f aca="false">IF(OR(P47="",IFERROR(INDEX(Staff!$E$4:$E$33,MATCH(P47,Staff!$D$4:$D$33,0)),"")=""),"",HYPERLINK("mailto:"&amp;IFERROR(INDEX(Staff!$E$4:$E$33,MATCH(P47,Staff!$D$4:$D$33,0)),"")&amp;"?subject="&amp;SUBSTITUTE(SUBSTITUTE(SUBSTITUTE(SUBSTITUTE(SUBSTITUTE("Parts quote "&amp;A47&amp;" allocated to you - "&amp;D47,"%","%25"),"&amp;","%26")," ","%20"),"#","%23"),CHAR(10),"%0A")&amp;"&amp;body="&amp;SUBSTITUTE(SUBSTITUTE(SUBSTITUTE(SUBSTITUTE(SUBSTITUTE("Ref: "&amp;A47&amp;CHAR(10)&amp;"Customer: "&amp;D47&amp;"  "&amp;E47&amp;CHAR(10)&amp;"Phone: "&amp;F47&amp;CHAR(10)&amp;"Email: "&amp;G47&amp;CHAR(10)&amp;"Prefers: "&amp;H47&amp;CHAR(10)&amp;"Enquiry: "&amp;LEFT(I47,600)&amp;CHAR(10)&amp;CHAR(10)&amp;"Sent from the Preston Mazda enquiry log.","%","%25"),"&amp;","%26")," ","%20"),"#","%23"),CHAR(10),"%0A"),"✉ Email "&amp;P47))</f>
        <v/>
      </c>
    </row>
    <row r="48" customFormat="false" ht="15" hidden="false" customHeight="false" outlineLevel="0" collapsed="false">
      <c r="A48" s="10" t="str">
        <f aca="false">IF(D48="","","E-"&amp;TEXT(ROW()-3,"0000"))</f>
        <v/>
      </c>
      <c r="B48" s="11"/>
      <c r="C48" s="12"/>
      <c r="D48" s="13"/>
      <c r="E48" s="14"/>
      <c r="F48" s="12"/>
      <c r="G48" s="12"/>
      <c r="H48" s="15"/>
      <c r="I48" s="16"/>
      <c r="J48" s="17" t="str">
        <f aca="false">IF(D48="","",HYPERLINK(Settings!$B$7&amp;A48&amp;".pdf","Open "&amp;A48&amp;".pdf"))</f>
        <v/>
      </c>
      <c r="K48" s="16"/>
      <c r="L48" s="12"/>
      <c r="M48" s="12"/>
      <c r="N48" s="15"/>
      <c r="O48" s="15"/>
      <c r="P48" s="12"/>
      <c r="Q48" s="15"/>
      <c r="R48" s="15"/>
      <c r="S48" s="15" t="str">
        <f aca="false">IF(D48="","",IF(AND(O48="Yes",OR(Q48&lt;&gt;"Yes",R48="Yes")),"Complete","Open"))</f>
        <v/>
      </c>
      <c r="T48" s="18" t="str">
        <f aca="false">IF(AND(Q48="Yes",R48&lt;&gt;"Yes"),HYPERLINK("mailto:"&amp;Settings!$B$5&amp;"?subject="&amp;SUBSTITUTE(SUBSTITUTE(SUBSTITUTE(SUBSTITUTE(SUBSTITUTE("Parts quote required - "&amp;D48&amp;" "&amp;E48,"%","%25"),"&amp;","%26")," ","%20"),"#","%23"),CHAR(10),"%0A")&amp;"&amp;body="&amp;SUBSTITUTE(SUBSTITUTE(SUBSTITUTE(SUBSTITUTE(SUBSTITUTE("Ref: "&amp;A48&amp;CHAR(10)&amp;"Customer: "&amp;D48&amp;"  "&amp;E48&amp;CHAR(10)&amp;"Phone: "&amp;F48&amp;CHAR(10)&amp;"Email: "&amp;G48&amp;CHAR(10)&amp;"Prefers: "&amp;H48&amp;CHAR(10)&amp;"Enquiry: "&amp;LEFT(I48,600)&amp;CHAR(10)&amp;CHAR(10)&amp;"Sent from the Preston Mazda enquiry log.","%","%25"),"&amp;","%26")," ","%20"),"#","%23"),CHAR(10),"%0A"),"✉ Email parts"),"")</f>
        <v/>
      </c>
      <c r="U48" s="18" t="str">
        <f aca="false">IF(AND(N48="Yes",O48&lt;&gt;"Yes"),HYPERLINK("mailto:"&amp;Settings!$B$6&amp;"?subject="&amp;SUBSTITUTE(SUBSTITUTE(SUBSTITUTE(SUBSTITUTE(SUBSTITUTE("Customer contact required - "&amp;D48&amp;" "&amp;E48,"%","%25"),"&amp;","%26")," ","%20"),"#","%23"),CHAR(10),"%0A")&amp;"&amp;body="&amp;SUBSTITUTE(SUBSTITUTE(SUBSTITUTE(SUBSTITUTE(SUBSTITUTE("Ref: "&amp;A48&amp;CHAR(10)&amp;"Customer: "&amp;D48&amp;"  "&amp;E48&amp;CHAR(10)&amp;"Phone: "&amp;F48&amp;CHAR(10)&amp;"Email: "&amp;G48&amp;CHAR(10)&amp;"Prefers: "&amp;H48&amp;CHAR(10)&amp;"Enquiry: "&amp;LEFT(I48,600)&amp;CHAR(10)&amp;CHAR(10)&amp;"Sent from the Preston Mazda enquiry log.","%","%25"),"&amp;","%26")," ","%20"),"#","%23"),CHAR(10),"%0A"),"✉ Email advisors"),"")</f>
        <v/>
      </c>
      <c r="V48" s="18" t="str">
        <f aca="false">IF(OR(M48="",IFERROR(INDEX(Staff!$B$4:$B$33,MATCH(M48,Staff!$A$4:$A$33,0)),"")=""),"",HYPERLINK("mailto:"&amp;IFERROR(INDEX(Staff!$B$4:$B$33,MATCH(M48,Staff!$A$4:$A$33,0)),"")&amp;"?subject="&amp;SUBSTITUTE(SUBSTITUTE(SUBSTITUTE(SUBSTITUTE(SUBSTITUTE("Enquiry "&amp;A48&amp;" allocated to you - "&amp;D48,"%","%25"),"&amp;","%26")," ","%20"),"#","%23"),CHAR(10),"%0A")&amp;"&amp;body="&amp;SUBSTITUTE(SUBSTITUTE(SUBSTITUTE(SUBSTITUTE(SUBSTITUTE("Ref: "&amp;A48&amp;CHAR(10)&amp;"Customer: "&amp;D48&amp;"  "&amp;E48&amp;CHAR(10)&amp;"Phone: "&amp;F48&amp;CHAR(10)&amp;"Email: "&amp;G48&amp;CHAR(10)&amp;"Prefers: "&amp;H48&amp;CHAR(10)&amp;"Enquiry: "&amp;LEFT(I48,600)&amp;CHAR(10)&amp;CHAR(10)&amp;"Sent from the Preston Mazda enquiry log.","%","%25"),"&amp;","%26")," ","%20"),"#","%23"),CHAR(10),"%0A"),"✉ Email "&amp;M48))</f>
        <v/>
      </c>
      <c r="W48" s="18" t="str">
        <f aca="false">IF(OR(P48="",IFERROR(INDEX(Staff!$E$4:$E$33,MATCH(P48,Staff!$D$4:$D$33,0)),"")=""),"",HYPERLINK("mailto:"&amp;IFERROR(INDEX(Staff!$E$4:$E$33,MATCH(P48,Staff!$D$4:$D$33,0)),"")&amp;"?subject="&amp;SUBSTITUTE(SUBSTITUTE(SUBSTITUTE(SUBSTITUTE(SUBSTITUTE("Parts quote "&amp;A48&amp;" allocated to you - "&amp;D48,"%","%25"),"&amp;","%26")," ","%20"),"#","%23"),CHAR(10),"%0A")&amp;"&amp;body="&amp;SUBSTITUTE(SUBSTITUTE(SUBSTITUTE(SUBSTITUTE(SUBSTITUTE("Ref: "&amp;A48&amp;CHAR(10)&amp;"Customer: "&amp;D48&amp;"  "&amp;E48&amp;CHAR(10)&amp;"Phone: "&amp;F48&amp;CHAR(10)&amp;"Email: "&amp;G48&amp;CHAR(10)&amp;"Prefers: "&amp;H48&amp;CHAR(10)&amp;"Enquiry: "&amp;LEFT(I48,600)&amp;CHAR(10)&amp;CHAR(10)&amp;"Sent from the Preston Mazda enquiry log.","%","%25"),"&amp;","%26")," ","%20"),"#","%23"),CHAR(10),"%0A"),"✉ Email "&amp;P48))</f>
        <v/>
      </c>
    </row>
    <row r="49" customFormat="false" ht="15" hidden="false" customHeight="false" outlineLevel="0" collapsed="false">
      <c r="A49" s="10" t="str">
        <f aca="false">IF(D49="","","E-"&amp;TEXT(ROW()-3,"0000"))</f>
        <v/>
      </c>
      <c r="B49" s="11"/>
      <c r="C49" s="12"/>
      <c r="D49" s="13"/>
      <c r="E49" s="14"/>
      <c r="F49" s="12"/>
      <c r="G49" s="12"/>
      <c r="H49" s="15"/>
      <c r="I49" s="16"/>
      <c r="J49" s="17" t="str">
        <f aca="false">IF(D49="","",HYPERLINK(Settings!$B$7&amp;A49&amp;".pdf","Open "&amp;A49&amp;".pdf"))</f>
        <v/>
      </c>
      <c r="K49" s="16"/>
      <c r="L49" s="12"/>
      <c r="M49" s="12"/>
      <c r="N49" s="15"/>
      <c r="O49" s="15"/>
      <c r="P49" s="12"/>
      <c r="Q49" s="15"/>
      <c r="R49" s="15"/>
      <c r="S49" s="15" t="str">
        <f aca="false">IF(D49="","",IF(AND(O49="Yes",OR(Q49&lt;&gt;"Yes",R49="Yes")),"Complete","Open"))</f>
        <v/>
      </c>
      <c r="T49" s="18" t="str">
        <f aca="false">IF(AND(Q49="Yes",R49&lt;&gt;"Yes"),HYPERLINK("mailto:"&amp;Settings!$B$5&amp;"?subject="&amp;SUBSTITUTE(SUBSTITUTE(SUBSTITUTE(SUBSTITUTE(SUBSTITUTE("Parts quote required - "&amp;D49&amp;" "&amp;E49,"%","%25"),"&amp;","%26")," ","%20"),"#","%23"),CHAR(10),"%0A")&amp;"&amp;body="&amp;SUBSTITUTE(SUBSTITUTE(SUBSTITUTE(SUBSTITUTE(SUBSTITUTE("Ref: "&amp;A49&amp;CHAR(10)&amp;"Customer: "&amp;D49&amp;"  "&amp;E49&amp;CHAR(10)&amp;"Phone: "&amp;F49&amp;CHAR(10)&amp;"Email: "&amp;G49&amp;CHAR(10)&amp;"Prefers: "&amp;H49&amp;CHAR(10)&amp;"Enquiry: "&amp;LEFT(I49,600)&amp;CHAR(10)&amp;CHAR(10)&amp;"Sent from the Preston Mazda enquiry log.","%","%25"),"&amp;","%26")," ","%20"),"#","%23"),CHAR(10),"%0A"),"✉ Email parts"),"")</f>
        <v/>
      </c>
      <c r="U49" s="18" t="str">
        <f aca="false">IF(AND(N49="Yes",O49&lt;&gt;"Yes"),HYPERLINK("mailto:"&amp;Settings!$B$6&amp;"?subject="&amp;SUBSTITUTE(SUBSTITUTE(SUBSTITUTE(SUBSTITUTE(SUBSTITUTE("Customer contact required - "&amp;D49&amp;" "&amp;E49,"%","%25"),"&amp;","%26")," ","%20"),"#","%23"),CHAR(10),"%0A")&amp;"&amp;body="&amp;SUBSTITUTE(SUBSTITUTE(SUBSTITUTE(SUBSTITUTE(SUBSTITUTE("Ref: "&amp;A49&amp;CHAR(10)&amp;"Customer: "&amp;D49&amp;"  "&amp;E49&amp;CHAR(10)&amp;"Phone: "&amp;F49&amp;CHAR(10)&amp;"Email: "&amp;G49&amp;CHAR(10)&amp;"Prefers: "&amp;H49&amp;CHAR(10)&amp;"Enquiry: "&amp;LEFT(I49,600)&amp;CHAR(10)&amp;CHAR(10)&amp;"Sent from the Preston Mazda enquiry log.","%","%25"),"&amp;","%26")," ","%20"),"#","%23"),CHAR(10),"%0A"),"✉ Email advisors"),"")</f>
        <v/>
      </c>
      <c r="V49" s="18" t="str">
        <f aca="false">IF(OR(M49="",IFERROR(INDEX(Staff!$B$4:$B$33,MATCH(M49,Staff!$A$4:$A$33,0)),"")=""),"",HYPERLINK("mailto:"&amp;IFERROR(INDEX(Staff!$B$4:$B$33,MATCH(M49,Staff!$A$4:$A$33,0)),"")&amp;"?subject="&amp;SUBSTITUTE(SUBSTITUTE(SUBSTITUTE(SUBSTITUTE(SUBSTITUTE("Enquiry "&amp;A49&amp;" allocated to you - "&amp;D49,"%","%25"),"&amp;","%26")," ","%20"),"#","%23"),CHAR(10),"%0A")&amp;"&amp;body="&amp;SUBSTITUTE(SUBSTITUTE(SUBSTITUTE(SUBSTITUTE(SUBSTITUTE("Ref: "&amp;A49&amp;CHAR(10)&amp;"Customer: "&amp;D49&amp;"  "&amp;E49&amp;CHAR(10)&amp;"Phone: "&amp;F49&amp;CHAR(10)&amp;"Email: "&amp;G49&amp;CHAR(10)&amp;"Prefers: "&amp;H49&amp;CHAR(10)&amp;"Enquiry: "&amp;LEFT(I49,600)&amp;CHAR(10)&amp;CHAR(10)&amp;"Sent from the Preston Mazda enquiry log.","%","%25"),"&amp;","%26")," ","%20"),"#","%23"),CHAR(10),"%0A"),"✉ Email "&amp;M49))</f>
        <v/>
      </c>
      <c r="W49" s="18" t="str">
        <f aca="false">IF(OR(P49="",IFERROR(INDEX(Staff!$E$4:$E$33,MATCH(P49,Staff!$D$4:$D$33,0)),"")=""),"",HYPERLINK("mailto:"&amp;IFERROR(INDEX(Staff!$E$4:$E$33,MATCH(P49,Staff!$D$4:$D$33,0)),"")&amp;"?subject="&amp;SUBSTITUTE(SUBSTITUTE(SUBSTITUTE(SUBSTITUTE(SUBSTITUTE("Parts quote "&amp;A49&amp;" allocated to you - "&amp;D49,"%","%25"),"&amp;","%26")," ","%20"),"#","%23"),CHAR(10),"%0A")&amp;"&amp;body="&amp;SUBSTITUTE(SUBSTITUTE(SUBSTITUTE(SUBSTITUTE(SUBSTITUTE("Ref: "&amp;A49&amp;CHAR(10)&amp;"Customer: "&amp;D49&amp;"  "&amp;E49&amp;CHAR(10)&amp;"Phone: "&amp;F49&amp;CHAR(10)&amp;"Email: "&amp;G49&amp;CHAR(10)&amp;"Prefers: "&amp;H49&amp;CHAR(10)&amp;"Enquiry: "&amp;LEFT(I49,600)&amp;CHAR(10)&amp;CHAR(10)&amp;"Sent from the Preston Mazda enquiry log.","%","%25"),"&amp;","%26")," ","%20"),"#","%23"),CHAR(10),"%0A"),"✉ Email "&amp;P49))</f>
        <v/>
      </c>
    </row>
    <row r="50" customFormat="false" ht="15" hidden="false" customHeight="false" outlineLevel="0" collapsed="false">
      <c r="A50" s="10" t="str">
        <f aca="false">IF(D50="","","E-"&amp;TEXT(ROW()-3,"0000"))</f>
        <v/>
      </c>
      <c r="B50" s="11"/>
      <c r="C50" s="12"/>
      <c r="D50" s="13"/>
      <c r="E50" s="14"/>
      <c r="F50" s="12"/>
      <c r="G50" s="12"/>
      <c r="H50" s="15"/>
      <c r="I50" s="16"/>
      <c r="J50" s="17" t="str">
        <f aca="false">IF(D50="","",HYPERLINK(Settings!$B$7&amp;A50&amp;".pdf","Open "&amp;A50&amp;".pdf"))</f>
        <v/>
      </c>
      <c r="K50" s="16"/>
      <c r="L50" s="12"/>
      <c r="M50" s="12"/>
      <c r="N50" s="15"/>
      <c r="O50" s="15"/>
      <c r="P50" s="12"/>
      <c r="Q50" s="15"/>
      <c r="R50" s="15"/>
      <c r="S50" s="15" t="str">
        <f aca="false">IF(D50="","",IF(AND(O50="Yes",OR(Q50&lt;&gt;"Yes",R50="Yes")),"Complete","Open"))</f>
        <v/>
      </c>
      <c r="T50" s="18" t="str">
        <f aca="false">IF(AND(Q50="Yes",R50&lt;&gt;"Yes"),HYPERLINK("mailto:"&amp;Settings!$B$5&amp;"?subject="&amp;SUBSTITUTE(SUBSTITUTE(SUBSTITUTE(SUBSTITUTE(SUBSTITUTE("Parts quote required - "&amp;D50&amp;" "&amp;E50,"%","%25"),"&amp;","%26")," ","%20"),"#","%23"),CHAR(10),"%0A")&amp;"&amp;body="&amp;SUBSTITUTE(SUBSTITUTE(SUBSTITUTE(SUBSTITUTE(SUBSTITUTE("Ref: "&amp;A50&amp;CHAR(10)&amp;"Customer: "&amp;D50&amp;"  "&amp;E50&amp;CHAR(10)&amp;"Phone: "&amp;F50&amp;CHAR(10)&amp;"Email: "&amp;G50&amp;CHAR(10)&amp;"Prefers: "&amp;H50&amp;CHAR(10)&amp;"Enquiry: "&amp;LEFT(I50,600)&amp;CHAR(10)&amp;CHAR(10)&amp;"Sent from the Preston Mazda enquiry log.","%","%25"),"&amp;","%26")," ","%20"),"#","%23"),CHAR(10),"%0A"),"✉ Email parts"),"")</f>
        <v/>
      </c>
      <c r="U50" s="18" t="str">
        <f aca="false">IF(AND(N50="Yes",O50&lt;&gt;"Yes"),HYPERLINK("mailto:"&amp;Settings!$B$6&amp;"?subject="&amp;SUBSTITUTE(SUBSTITUTE(SUBSTITUTE(SUBSTITUTE(SUBSTITUTE("Customer contact required - "&amp;D50&amp;" "&amp;E50,"%","%25"),"&amp;","%26")," ","%20"),"#","%23"),CHAR(10),"%0A")&amp;"&amp;body="&amp;SUBSTITUTE(SUBSTITUTE(SUBSTITUTE(SUBSTITUTE(SUBSTITUTE("Ref: "&amp;A50&amp;CHAR(10)&amp;"Customer: "&amp;D50&amp;"  "&amp;E50&amp;CHAR(10)&amp;"Phone: "&amp;F50&amp;CHAR(10)&amp;"Email: "&amp;G50&amp;CHAR(10)&amp;"Prefers: "&amp;H50&amp;CHAR(10)&amp;"Enquiry: "&amp;LEFT(I50,600)&amp;CHAR(10)&amp;CHAR(10)&amp;"Sent from the Preston Mazda enquiry log.","%","%25"),"&amp;","%26")," ","%20"),"#","%23"),CHAR(10),"%0A"),"✉ Email advisors"),"")</f>
        <v/>
      </c>
      <c r="V50" s="18" t="str">
        <f aca="false">IF(OR(M50="",IFERROR(INDEX(Staff!$B$4:$B$33,MATCH(M50,Staff!$A$4:$A$33,0)),"")=""),"",HYPERLINK("mailto:"&amp;IFERROR(INDEX(Staff!$B$4:$B$33,MATCH(M50,Staff!$A$4:$A$33,0)),"")&amp;"?subject="&amp;SUBSTITUTE(SUBSTITUTE(SUBSTITUTE(SUBSTITUTE(SUBSTITUTE("Enquiry "&amp;A50&amp;" allocated to you - "&amp;D50,"%","%25"),"&amp;","%26")," ","%20"),"#","%23"),CHAR(10),"%0A")&amp;"&amp;body="&amp;SUBSTITUTE(SUBSTITUTE(SUBSTITUTE(SUBSTITUTE(SUBSTITUTE("Ref: "&amp;A50&amp;CHAR(10)&amp;"Customer: "&amp;D50&amp;"  "&amp;E50&amp;CHAR(10)&amp;"Phone: "&amp;F50&amp;CHAR(10)&amp;"Email: "&amp;G50&amp;CHAR(10)&amp;"Prefers: "&amp;H50&amp;CHAR(10)&amp;"Enquiry: "&amp;LEFT(I50,600)&amp;CHAR(10)&amp;CHAR(10)&amp;"Sent from the Preston Mazda enquiry log.","%","%25"),"&amp;","%26")," ","%20"),"#","%23"),CHAR(10),"%0A"),"✉ Email "&amp;M50))</f>
        <v/>
      </c>
      <c r="W50" s="18" t="str">
        <f aca="false">IF(OR(P50="",IFERROR(INDEX(Staff!$E$4:$E$33,MATCH(P50,Staff!$D$4:$D$33,0)),"")=""),"",HYPERLINK("mailto:"&amp;IFERROR(INDEX(Staff!$E$4:$E$33,MATCH(P50,Staff!$D$4:$D$33,0)),"")&amp;"?subject="&amp;SUBSTITUTE(SUBSTITUTE(SUBSTITUTE(SUBSTITUTE(SUBSTITUTE("Parts quote "&amp;A50&amp;" allocated to you - "&amp;D50,"%","%25"),"&amp;","%26")," ","%20"),"#","%23"),CHAR(10),"%0A")&amp;"&amp;body="&amp;SUBSTITUTE(SUBSTITUTE(SUBSTITUTE(SUBSTITUTE(SUBSTITUTE("Ref: "&amp;A50&amp;CHAR(10)&amp;"Customer: "&amp;D50&amp;"  "&amp;E50&amp;CHAR(10)&amp;"Phone: "&amp;F50&amp;CHAR(10)&amp;"Email: "&amp;G50&amp;CHAR(10)&amp;"Prefers: "&amp;H50&amp;CHAR(10)&amp;"Enquiry: "&amp;LEFT(I50,600)&amp;CHAR(10)&amp;CHAR(10)&amp;"Sent from the Preston Mazda enquiry log.","%","%25"),"&amp;","%26")," ","%20"),"#","%23"),CHAR(10),"%0A"),"✉ Email "&amp;P50))</f>
        <v/>
      </c>
    </row>
    <row r="51" customFormat="false" ht="15" hidden="false" customHeight="false" outlineLevel="0" collapsed="false">
      <c r="A51" s="10" t="str">
        <f aca="false">IF(D51="","","E-"&amp;TEXT(ROW()-3,"0000"))</f>
        <v/>
      </c>
      <c r="B51" s="11"/>
      <c r="C51" s="12"/>
      <c r="D51" s="13"/>
      <c r="E51" s="14"/>
      <c r="F51" s="12"/>
      <c r="G51" s="12"/>
      <c r="H51" s="15"/>
      <c r="I51" s="16"/>
      <c r="J51" s="17" t="str">
        <f aca="false">IF(D51="","",HYPERLINK(Settings!$B$7&amp;A51&amp;".pdf","Open "&amp;A51&amp;".pdf"))</f>
        <v/>
      </c>
      <c r="K51" s="16"/>
      <c r="L51" s="12"/>
      <c r="M51" s="12"/>
      <c r="N51" s="15"/>
      <c r="O51" s="15"/>
      <c r="P51" s="12"/>
      <c r="Q51" s="15"/>
      <c r="R51" s="15"/>
      <c r="S51" s="15" t="str">
        <f aca="false">IF(D51="","",IF(AND(O51="Yes",OR(Q51&lt;&gt;"Yes",R51="Yes")),"Complete","Open"))</f>
        <v/>
      </c>
      <c r="T51" s="18" t="str">
        <f aca="false">IF(AND(Q51="Yes",R51&lt;&gt;"Yes"),HYPERLINK("mailto:"&amp;Settings!$B$5&amp;"?subject="&amp;SUBSTITUTE(SUBSTITUTE(SUBSTITUTE(SUBSTITUTE(SUBSTITUTE("Parts quote required - "&amp;D51&amp;" "&amp;E51,"%","%25"),"&amp;","%26")," ","%20"),"#","%23"),CHAR(10),"%0A")&amp;"&amp;body="&amp;SUBSTITUTE(SUBSTITUTE(SUBSTITUTE(SUBSTITUTE(SUBSTITUTE("Ref: "&amp;A51&amp;CHAR(10)&amp;"Customer: "&amp;D51&amp;"  "&amp;E51&amp;CHAR(10)&amp;"Phone: "&amp;F51&amp;CHAR(10)&amp;"Email: "&amp;G51&amp;CHAR(10)&amp;"Prefers: "&amp;H51&amp;CHAR(10)&amp;"Enquiry: "&amp;LEFT(I51,600)&amp;CHAR(10)&amp;CHAR(10)&amp;"Sent from the Preston Mazda enquiry log.","%","%25"),"&amp;","%26")," ","%20"),"#","%23"),CHAR(10),"%0A"),"✉ Email parts"),"")</f>
        <v/>
      </c>
      <c r="U51" s="18" t="str">
        <f aca="false">IF(AND(N51="Yes",O51&lt;&gt;"Yes"),HYPERLINK("mailto:"&amp;Settings!$B$6&amp;"?subject="&amp;SUBSTITUTE(SUBSTITUTE(SUBSTITUTE(SUBSTITUTE(SUBSTITUTE("Customer contact required - "&amp;D51&amp;" "&amp;E51,"%","%25"),"&amp;","%26")," ","%20"),"#","%23"),CHAR(10),"%0A")&amp;"&amp;body="&amp;SUBSTITUTE(SUBSTITUTE(SUBSTITUTE(SUBSTITUTE(SUBSTITUTE("Ref: "&amp;A51&amp;CHAR(10)&amp;"Customer: "&amp;D51&amp;"  "&amp;E51&amp;CHAR(10)&amp;"Phone: "&amp;F51&amp;CHAR(10)&amp;"Email: "&amp;G51&amp;CHAR(10)&amp;"Prefers: "&amp;H51&amp;CHAR(10)&amp;"Enquiry: "&amp;LEFT(I51,600)&amp;CHAR(10)&amp;CHAR(10)&amp;"Sent from the Preston Mazda enquiry log.","%","%25"),"&amp;","%26")," ","%20"),"#","%23"),CHAR(10),"%0A"),"✉ Email advisors"),"")</f>
        <v/>
      </c>
      <c r="V51" s="18" t="str">
        <f aca="false">IF(OR(M51="",IFERROR(INDEX(Staff!$B$4:$B$33,MATCH(M51,Staff!$A$4:$A$33,0)),"")=""),"",HYPERLINK("mailto:"&amp;IFERROR(INDEX(Staff!$B$4:$B$33,MATCH(M51,Staff!$A$4:$A$33,0)),"")&amp;"?subject="&amp;SUBSTITUTE(SUBSTITUTE(SUBSTITUTE(SUBSTITUTE(SUBSTITUTE("Enquiry "&amp;A51&amp;" allocated to you - "&amp;D51,"%","%25"),"&amp;","%26")," ","%20"),"#","%23"),CHAR(10),"%0A")&amp;"&amp;body="&amp;SUBSTITUTE(SUBSTITUTE(SUBSTITUTE(SUBSTITUTE(SUBSTITUTE("Ref: "&amp;A51&amp;CHAR(10)&amp;"Customer: "&amp;D51&amp;"  "&amp;E51&amp;CHAR(10)&amp;"Phone: "&amp;F51&amp;CHAR(10)&amp;"Email: "&amp;G51&amp;CHAR(10)&amp;"Prefers: "&amp;H51&amp;CHAR(10)&amp;"Enquiry: "&amp;LEFT(I51,600)&amp;CHAR(10)&amp;CHAR(10)&amp;"Sent from the Preston Mazda enquiry log.","%","%25"),"&amp;","%26")," ","%20"),"#","%23"),CHAR(10),"%0A"),"✉ Email "&amp;M51))</f>
        <v/>
      </c>
      <c r="W51" s="18" t="str">
        <f aca="false">IF(OR(P51="",IFERROR(INDEX(Staff!$E$4:$E$33,MATCH(P51,Staff!$D$4:$D$33,0)),"")=""),"",HYPERLINK("mailto:"&amp;IFERROR(INDEX(Staff!$E$4:$E$33,MATCH(P51,Staff!$D$4:$D$33,0)),"")&amp;"?subject="&amp;SUBSTITUTE(SUBSTITUTE(SUBSTITUTE(SUBSTITUTE(SUBSTITUTE("Parts quote "&amp;A51&amp;" allocated to you - "&amp;D51,"%","%25"),"&amp;","%26")," ","%20"),"#","%23"),CHAR(10),"%0A")&amp;"&amp;body="&amp;SUBSTITUTE(SUBSTITUTE(SUBSTITUTE(SUBSTITUTE(SUBSTITUTE("Ref: "&amp;A51&amp;CHAR(10)&amp;"Customer: "&amp;D51&amp;"  "&amp;E51&amp;CHAR(10)&amp;"Phone: "&amp;F51&amp;CHAR(10)&amp;"Email: "&amp;G51&amp;CHAR(10)&amp;"Prefers: "&amp;H51&amp;CHAR(10)&amp;"Enquiry: "&amp;LEFT(I51,600)&amp;CHAR(10)&amp;CHAR(10)&amp;"Sent from the Preston Mazda enquiry log.","%","%25"),"&amp;","%26")," ","%20"),"#","%23"),CHAR(10),"%0A"),"✉ Email "&amp;P51))</f>
        <v/>
      </c>
    </row>
    <row r="52" customFormat="false" ht="15" hidden="false" customHeight="false" outlineLevel="0" collapsed="false">
      <c r="A52" s="10" t="str">
        <f aca="false">IF(D52="","","E-"&amp;TEXT(ROW()-3,"0000"))</f>
        <v/>
      </c>
      <c r="B52" s="11"/>
      <c r="C52" s="12"/>
      <c r="D52" s="13"/>
      <c r="E52" s="14"/>
      <c r="F52" s="12"/>
      <c r="G52" s="12"/>
      <c r="H52" s="15"/>
      <c r="I52" s="16"/>
      <c r="J52" s="17" t="str">
        <f aca="false">IF(D52="","",HYPERLINK(Settings!$B$7&amp;A52&amp;".pdf","Open "&amp;A52&amp;".pdf"))</f>
        <v/>
      </c>
      <c r="K52" s="16"/>
      <c r="L52" s="12"/>
      <c r="M52" s="12"/>
      <c r="N52" s="15"/>
      <c r="O52" s="15"/>
      <c r="P52" s="12"/>
      <c r="Q52" s="15"/>
      <c r="R52" s="15"/>
      <c r="S52" s="15" t="str">
        <f aca="false">IF(D52="","",IF(AND(O52="Yes",OR(Q52&lt;&gt;"Yes",R52="Yes")),"Complete","Open"))</f>
        <v/>
      </c>
      <c r="T52" s="18" t="str">
        <f aca="false">IF(AND(Q52="Yes",R52&lt;&gt;"Yes"),HYPERLINK("mailto:"&amp;Settings!$B$5&amp;"?subject="&amp;SUBSTITUTE(SUBSTITUTE(SUBSTITUTE(SUBSTITUTE(SUBSTITUTE("Parts quote required - "&amp;D52&amp;" "&amp;E52,"%","%25"),"&amp;","%26")," ","%20"),"#","%23"),CHAR(10),"%0A")&amp;"&amp;body="&amp;SUBSTITUTE(SUBSTITUTE(SUBSTITUTE(SUBSTITUTE(SUBSTITUTE("Ref: "&amp;A52&amp;CHAR(10)&amp;"Customer: "&amp;D52&amp;"  "&amp;E52&amp;CHAR(10)&amp;"Phone: "&amp;F52&amp;CHAR(10)&amp;"Email: "&amp;G52&amp;CHAR(10)&amp;"Prefers: "&amp;H52&amp;CHAR(10)&amp;"Enquiry: "&amp;LEFT(I52,600)&amp;CHAR(10)&amp;CHAR(10)&amp;"Sent from the Preston Mazda enquiry log.","%","%25"),"&amp;","%26")," ","%20"),"#","%23"),CHAR(10),"%0A"),"✉ Email parts"),"")</f>
        <v/>
      </c>
      <c r="U52" s="18" t="str">
        <f aca="false">IF(AND(N52="Yes",O52&lt;&gt;"Yes"),HYPERLINK("mailto:"&amp;Settings!$B$6&amp;"?subject="&amp;SUBSTITUTE(SUBSTITUTE(SUBSTITUTE(SUBSTITUTE(SUBSTITUTE("Customer contact required - "&amp;D52&amp;" "&amp;E52,"%","%25"),"&amp;","%26")," ","%20"),"#","%23"),CHAR(10),"%0A")&amp;"&amp;body="&amp;SUBSTITUTE(SUBSTITUTE(SUBSTITUTE(SUBSTITUTE(SUBSTITUTE("Ref: "&amp;A52&amp;CHAR(10)&amp;"Customer: "&amp;D52&amp;"  "&amp;E52&amp;CHAR(10)&amp;"Phone: "&amp;F52&amp;CHAR(10)&amp;"Email: "&amp;G52&amp;CHAR(10)&amp;"Prefers: "&amp;H52&amp;CHAR(10)&amp;"Enquiry: "&amp;LEFT(I52,600)&amp;CHAR(10)&amp;CHAR(10)&amp;"Sent from the Preston Mazda enquiry log.","%","%25"),"&amp;","%26")," ","%20"),"#","%23"),CHAR(10),"%0A"),"✉ Email advisors"),"")</f>
        <v/>
      </c>
      <c r="V52" s="18" t="str">
        <f aca="false">IF(OR(M52="",IFERROR(INDEX(Staff!$B$4:$B$33,MATCH(M52,Staff!$A$4:$A$33,0)),"")=""),"",HYPERLINK("mailto:"&amp;IFERROR(INDEX(Staff!$B$4:$B$33,MATCH(M52,Staff!$A$4:$A$33,0)),"")&amp;"?subject="&amp;SUBSTITUTE(SUBSTITUTE(SUBSTITUTE(SUBSTITUTE(SUBSTITUTE("Enquiry "&amp;A52&amp;" allocated to you - "&amp;D52,"%","%25"),"&amp;","%26")," ","%20"),"#","%23"),CHAR(10),"%0A")&amp;"&amp;body="&amp;SUBSTITUTE(SUBSTITUTE(SUBSTITUTE(SUBSTITUTE(SUBSTITUTE("Ref: "&amp;A52&amp;CHAR(10)&amp;"Customer: "&amp;D52&amp;"  "&amp;E52&amp;CHAR(10)&amp;"Phone: "&amp;F52&amp;CHAR(10)&amp;"Email: "&amp;G52&amp;CHAR(10)&amp;"Prefers: "&amp;H52&amp;CHAR(10)&amp;"Enquiry: "&amp;LEFT(I52,600)&amp;CHAR(10)&amp;CHAR(10)&amp;"Sent from the Preston Mazda enquiry log.","%","%25"),"&amp;","%26")," ","%20"),"#","%23"),CHAR(10),"%0A"),"✉ Email "&amp;M52))</f>
        <v/>
      </c>
      <c r="W52" s="18" t="str">
        <f aca="false">IF(OR(P52="",IFERROR(INDEX(Staff!$E$4:$E$33,MATCH(P52,Staff!$D$4:$D$33,0)),"")=""),"",HYPERLINK("mailto:"&amp;IFERROR(INDEX(Staff!$E$4:$E$33,MATCH(P52,Staff!$D$4:$D$33,0)),"")&amp;"?subject="&amp;SUBSTITUTE(SUBSTITUTE(SUBSTITUTE(SUBSTITUTE(SUBSTITUTE("Parts quote "&amp;A52&amp;" allocated to you - "&amp;D52,"%","%25"),"&amp;","%26")," ","%20"),"#","%23"),CHAR(10),"%0A")&amp;"&amp;body="&amp;SUBSTITUTE(SUBSTITUTE(SUBSTITUTE(SUBSTITUTE(SUBSTITUTE("Ref: "&amp;A52&amp;CHAR(10)&amp;"Customer: "&amp;D52&amp;"  "&amp;E52&amp;CHAR(10)&amp;"Phone: "&amp;F52&amp;CHAR(10)&amp;"Email: "&amp;G52&amp;CHAR(10)&amp;"Prefers: "&amp;H52&amp;CHAR(10)&amp;"Enquiry: "&amp;LEFT(I52,600)&amp;CHAR(10)&amp;CHAR(10)&amp;"Sent from the Preston Mazda enquiry log.","%","%25"),"&amp;","%26")," ","%20"),"#","%23"),CHAR(10),"%0A"),"✉ Email "&amp;P52))</f>
        <v/>
      </c>
    </row>
    <row r="53" customFormat="false" ht="15" hidden="false" customHeight="false" outlineLevel="0" collapsed="false">
      <c r="A53" s="10" t="str">
        <f aca="false">IF(D53="","","E-"&amp;TEXT(ROW()-3,"0000"))</f>
        <v/>
      </c>
      <c r="B53" s="11"/>
      <c r="C53" s="12"/>
      <c r="D53" s="13"/>
      <c r="E53" s="14"/>
      <c r="F53" s="12"/>
      <c r="G53" s="12"/>
      <c r="H53" s="15"/>
      <c r="I53" s="16"/>
      <c r="J53" s="17" t="str">
        <f aca="false">IF(D53="","",HYPERLINK(Settings!$B$7&amp;A53&amp;".pdf","Open "&amp;A53&amp;".pdf"))</f>
        <v/>
      </c>
      <c r="K53" s="16"/>
      <c r="L53" s="12"/>
      <c r="M53" s="12"/>
      <c r="N53" s="15"/>
      <c r="O53" s="15"/>
      <c r="P53" s="12"/>
      <c r="Q53" s="15"/>
      <c r="R53" s="15"/>
      <c r="S53" s="15" t="str">
        <f aca="false">IF(D53="","",IF(AND(O53="Yes",OR(Q53&lt;&gt;"Yes",R53="Yes")),"Complete","Open"))</f>
        <v/>
      </c>
      <c r="T53" s="18" t="str">
        <f aca="false">IF(AND(Q53="Yes",R53&lt;&gt;"Yes"),HYPERLINK("mailto:"&amp;Settings!$B$5&amp;"?subject="&amp;SUBSTITUTE(SUBSTITUTE(SUBSTITUTE(SUBSTITUTE(SUBSTITUTE("Parts quote required - "&amp;D53&amp;" "&amp;E53,"%","%25"),"&amp;","%26")," ","%20"),"#","%23"),CHAR(10),"%0A")&amp;"&amp;body="&amp;SUBSTITUTE(SUBSTITUTE(SUBSTITUTE(SUBSTITUTE(SUBSTITUTE("Ref: "&amp;A53&amp;CHAR(10)&amp;"Customer: "&amp;D53&amp;"  "&amp;E53&amp;CHAR(10)&amp;"Phone: "&amp;F53&amp;CHAR(10)&amp;"Email: "&amp;G53&amp;CHAR(10)&amp;"Prefers: "&amp;H53&amp;CHAR(10)&amp;"Enquiry: "&amp;LEFT(I53,600)&amp;CHAR(10)&amp;CHAR(10)&amp;"Sent from the Preston Mazda enquiry log.","%","%25"),"&amp;","%26")," ","%20"),"#","%23"),CHAR(10),"%0A"),"✉ Email parts"),"")</f>
        <v/>
      </c>
      <c r="U53" s="18" t="str">
        <f aca="false">IF(AND(N53="Yes",O53&lt;&gt;"Yes"),HYPERLINK("mailto:"&amp;Settings!$B$6&amp;"?subject="&amp;SUBSTITUTE(SUBSTITUTE(SUBSTITUTE(SUBSTITUTE(SUBSTITUTE("Customer contact required - "&amp;D53&amp;" "&amp;E53,"%","%25"),"&amp;","%26")," ","%20"),"#","%23"),CHAR(10),"%0A")&amp;"&amp;body="&amp;SUBSTITUTE(SUBSTITUTE(SUBSTITUTE(SUBSTITUTE(SUBSTITUTE("Ref: "&amp;A53&amp;CHAR(10)&amp;"Customer: "&amp;D53&amp;"  "&amp;E53&amp;CHAR(10)&amp;"Phone: "&amp;F53&amp;CHAR(10)&amp;"Email: "&amp;G53&amp;CHAR(10)&amp;"Prefers: "&amp;H53&amp;CHAR(10)&amp;"Enquiry: "&amp;LEFT(I53,600)&amp;CHAR(10)&amp;CHAR(10)&amp;"Sent from the Preston Mazda enquiry log.","%","%25"),"&amp;","%26")," ","%20"),"#","%23"),CHAR(10),"%0A"),"✉ Email advisors"),"")</f>
        <v/>
      </c>
      <c r="V53" s="18" t="str">
        <f aca="false">IF(OR(M53="",IFERROR(INDEX(Staff!$B$4:$B$33,MATCH(M53,Staff!$A$4:$A$33,0)),"")=""),"",HYPERLINK("mailto:"&amp;IFERROR(INDEX(Staff!$B$4:$B$33,MATCH(M53,Staff!$A$4:$A$33,0)),"")&amp;"?subject="&amp;SUBSTITUTE(SUBSTITUTE(SUBSTITUTE(SUBSTITUTE(SUBSTITUTE("Enquiry "&amp;A53&amp;" allocated to you - "&amp;D53,"%","%25"),"&amp;","%26")," ","%20"),"#","%23"),CHAR(10),"%0A")&amp;"&amp;body="&amp;SUBSTITUTE(SUBSTITUTE(SUBSTITUTE(SUBSTITUTE(SUBSTITUTE("Ref: "&amp;A53&amp;CHAR(10)&amp;"Customer: "&amp;D53&amp;"  "&amp;E53&amp;CHAR(10)&amp;"Phone: "&amp;F53&amp;CHAR(10)&amp;"Email: "&amp;G53&amp;CHAR(10)&amp;"Prefers: "&amp;H53&amp;CHAR(10)&amp;"Enquiry: "&amp;LEFT(I53,600)&amp;CHAR(10)&amp;CHAR(10)&amp;"Sent from the Preston Mazda enquiry log.","%","%25"),"&amp;","%26")," ","%20"),"#","%23"),CHAR(10),"%0A"),"✉ Email "&amp;M53))</f>
        <v/>
      </c>
      <c r="W53" s="18" t="str">
        <f aca="false">IF(OR(P53="",IFERROR(INDEX(Staff!$E$4:$E$33,MATCH(P53,Staff!$D$4:$D$33,0)),"")=""),"",HYPERLINK("mailto:"&amp;IFERROR(INDEX(Staff!$E$4:$E$33,MATCH(P53,Staff!$D$4:$D$33,0)),"")&amp;"?subject="&amp;SUBSTITUTE(SUBSTITUTE(SUBSTITUTE(SUBSTITUTE(SUBSTITUTE("Parts quote "&amp;A53&amp;" allocated to you - "&amp;D53,"%","%25"),"&amp;","%26")," ","%20"),"#","%23"),CHAR(10),"%0A")&amp;"&amp;body="&amp;SUBSTITUTE(SUBSTITUTE(SUBSTITUTE(SUBSTITUTE(SUBSTITUTE("Ref: "&amp;A53&amp;CHAR(10)&amp;"Customer: "&amp;D53&amp;"  "&amp;E53&amp;CHAR(10)&amp;"Phone: "&amp;F53&amp;CHAR(10)&amp;"Email: "&amp;G53&amp;CHAR(10)&amp;"Prefers: "&amp;H53&amp;CHAR(10)&amp;"Enquiry: "&amp;LEFT(I53,600)&amp;CHAR(10)&amp;CHAR(10)&amp;"Sent from the Preston Mazda enquiry log.","%","%25"),"&amp;","%26")," ","%20"),"#","%23"),CHAR(10),"%0A"),"✉ Email "&amp;P53))</f>
        <v/>
      </c>
    </row>
    <row r="54" customFormat="false" ht="15" hidden="false" customHeight="false" outlineLevel="0" collapsed="false">
      <c r="A54" s="10" t="str">
        <f aca="false">IF(D54="","","E-"&amp;TEXT(ROW()-3,"0000"))</f>
        <v/>
      </c>
      <c r="B54" s="11"/>
      <c r="C54" s="12"/>
      <c r="D54" s="13"/>
      <c r="E54" s="14"/>
      <c r="F54" s="12"/>
      <c r="G54" s="12"/>
      <c r="H54" s="15"/>
      <c r="I54" s="16"/>
      <c r="J54" s="17" t="str">
        <f aca="false">IF(D54="","",HYPERLINK(Settings!$B$7&amp;A54&amp;".pdf","Open "&amp;A54&amp;".pdf"))</f>
        <v/>
      </c>
      <c r="K54" s="16"/>
      <c r="L54" s="12"/>
      <c r="M54" s="12"/>
      <c r="N54" s="15"/>
      <c r="O54" s="15"/>
      <c r="P54" s="12"/>
      <c r="Q54" s="15"/>
      <c r="R54" s="15"/>
      <c r="S54" s="15" t="str">
        <f aca="false">IF(D54="","",IF(AND(O54="Yes",OR(Q54&lt;&gt;"Yes",R54="Yes")),"Complete","Open"))</f>
        <v/>
      </c>
      <c r="T54" s="18" t="str">
        <f aca="false">IF(AND(Q54="Yes",R54&lt;&gt;"Yes"),HYPERLINK("mailto:"&amp;Settings!$B$5&amp;"?subject="&amp;SUBSTITUTE(SUBSTITUTE(SUBSTITUTE(SUBSTITUTE(SUBSTITUTE("Parts quote required - "&amp;D54&amp;" "&amp;E54,"%","%25"),"&amp;","%26")," ","%20"),"#","%23"),CHAR(10),"%0A")&amp;"&amp;body="&amp;SUBSTITUTE(SUBSTITUTE(SUBSTITUTE(SUBSTITUTE(SUBSTITUTE("Ref: "&amp;A54&amp;CHAR(10)&amp;"Customer: "&amp;D54&amp;"  "&amp;E54&amp;CHAR(10)&amp;"Phone: "&amp;F54&amp;CHAR(10)&amp;"Email: "&amp;G54&amp;CHAR(10)&amp;"Prefers: "&amp;H54&amp;CHAR(10)&amp;"Enquiry: "&amp;LEFT(I54,600)&amp;CHAR(10)&amp;CHAR(10)&amp;"Sent from the Preston Mazda enquiry log.","%","%25"),"&amp;","%26")," ","%20"),"#","%23"),CHAR(10),"%0A"),"✉ Email parts"),"")</f>
        <v/>
      </c>
      <c r="U54" s="18" t="str">
        <f aca="false">IF(AND(N54="Yes",O54&lt;&gt;"Yes"),HYPERLINK("mailto:"&amp;Settings!$B$6&amp;"?subject="&amp;SUBSTITUTE(SUBSTITUTE(SUBSTITUTE(SUBSTITUTE(SUBSTITUTE("Customer contact required - "&amp;D54&amp;" "&amp;E54,"%","%25"),"&amp;","%26")," ","%20"),"#","%23"),CHAR(10),"%0A")&amp;"&amp;body="&amp;SUBSTITUTE(SUBSTITUTE(SUBSTITUTE(SUBSTITUTE(SUBSTITUTE("Ref: "&amp;A54&amp;CHAR(10)&amp;"Customer: "&amp;D54&amp;"  "&amp;E54&amp;CHAR(10)&amp;"Phone: "&amp;F54&amp;CHAR(10)&amp;"Email: "&amp;G54&amp;CHAR(10)&amp;"Prefers: "&amp;H54&amp;CHAR(10)&amp;"Enquiry: "&amp;LEFT(I54,600)&amp;CHAR(10)&amp;CHAR(10)&amp;"Sent from the Preston Mazda enquiry log.","%","%25"),"&amp;","%26")," ","%20"),"#","%23"),CHAR(10),"%0A"),"✉ Email advisors"),"")</f>
        <v/>
      </c>
      <c r="V54" s="18" t="str">
        <f aca="false">IF(OR(M54="",IFERROR(INDEX(Staff!$B$4:$B$33,MATCH(M54,Staff!$A$4:$A$33,0)),"")=""),"",HYPERLINK("mailto:"&amp;IFERROR(INDEX(Staff!$B$4:$B$33,MATCH(M54,Staff!$A$4:$A$33,0)),"")&amp;"?subject="&amp;SUBSTITUTE(SUBSTITUTE(SUBSTITUTE(SUBSTITUTE(SUBSTITUTE("Enquiry "&amp;A54&amp;" allocated to you - "&amp;D54,"%","%25"),"&amp;","%26")," ","%20"),"#","%23"),CHAR(10),"%0A")&amp;"&amp;body="&amp;SUBSTITUTE(SUBSTITUTE(SUBSTITUTE(SUBSTITUTE(SUBSTITUTE("Ref: "&amp;A54&amp;CHAR(10)&amp;"Customer: "&amp;D54&amp;"  "&amp;E54&amp;CHAR(10)&amp;"Phone: "&amp;F54&amp;CHAR(10)&amp;"Email: "&amp;G54&amp;CHAR(10)&amp;"Prefers: "&amp;H54&amp;CHAR(10)&amp;"Enquiry: "&amp;LEFT(I54,600)&amp;CHAR(10)&amp;CHAR(10)&amp;"Sent from the Preston Mazda enquiry log.","%","%25"),"&amp;","%26")," ","%20"),"#","%23"),CHAR(10),"%0A"),"✉ Email "&amp;M54))</f>
        <v/>
      </c>
      <c r="W54" s="18" t="str">
        <f aca="false">IF(OR(P54="",IFERROR(INDEX(Staff!$E$4:$E$33,MATCH(P54,Staff!$D$4:$D$33,0)),"")=""),"",HYPERLINK("mailto:"&amp;IFERROR(INDEX(Staff!$E$4:$E$33,MATCH(P54,Staff!$D$4:$D$33,0)),"")&amp;"?subject="&amp;SUBSTITUTE(SUBSTITUTE(SUBSTITUTE(SUBSTITUTE(SUBSTITUTE("Parts quote "&amp;A54&amp;" allocated to you - "&amp;D54,"%","%25"),"&amp;","%26")," ","%20"),"#","%23"),CHAR(10),"%0A")&amp;"&amp;body="&amp;SUBSTITUTE(SUBSTITUTE(SUBSTITUTE(SUBSTITUTE(SUBSTITUTE("Ref: "&amp;A54&amp;CHAR(10)&amp;"Customer: "&amp;D54&amp;"  "&amp;E54&amp;CHAR(10)&amp;"Phone: "&amp;F54&amp;CHAR(10)&amp;"Email: "&amp;G54&amp;CHAR(10)&amp;"Prefers: "&amp;H54&amp;CHAR(10)&amp;"Enquiry: "&amp;LEFT(I54,600)&amp;CHAR(10)&amp;CHAR(10)&amp;"Sent from the Preston Mazda enquiry log.","%","%25"),"&amp;","%26")," ","%20"),"#","%23"),CHAR(10),"%0A"),"✉ Email "&amp;P54))</f>
        <v/>
      </c>
    </row>
    <row r="55" customFormat="false" ht="15" hidden="false" customHeight="false" outlineLevel="0" collapsed="false">
      <c r="A55" s="10" t="str">
        <f aca="false">IF(D55="","","E-"&amp;TEXT(ROW()-3,"0000"))</f>
        <v/>
      </c>
      <c r="B55" s="11"/>
      <c r="C55" s="12"/>
      <c r="D55" s="13"/>
      <c r="E55" s="14"/>
      <c r="F55" s="12"/>
      <c r="G55" s="12"/>
      <c r="H55" s="15"/>
      <c r="I55" s="16"/>
      <c r="J55" s="17" t="str">
        <f aca="false">IF(D55="","",HYPERLINK(Settings!$B$7&amp;A55&amp;".pdf","Open "&amp;A55&amp;".pdf"))</f>
        <v/>
      </c>
      <c r="K55" s="16"/>
      <c r="L55" s="12"/>
      <c r="M55" s="12"/>
      <c r="N55" s="15"/>
      <c r="O55" s="15"/>
      <c r="P55" s="12"/>
      <c r="Q55" s="15"/>
      <c r="R55" s="15"/>
      <c r="S55" s="15" t="str">
        <f aca="false">IF(D55="","",IF(AND(O55="Yes",OR(Q55&lt;&gt;"Yes",R55="Yes")),"Complete","Open"))</f>
        <v/>
      </c>
      <c r="T55" s="18" t="str">
        <f aca="false">IF(AND(Q55="Yes",R55&lt;&gt;"Yes"),HYPERLINK("mailto:"&amp;Settings!$B$5&amp;"?subject="&amp;SUBSTITUTE(SUBSTITUTE(SUBSTITUTE(SUBSTITUTE(SUBSTITUTE("Parts quote required - "&amp;D55&amp;" "&amp;E55,"%","%25"),"&amp;","%26")," ","%20"),"#","%23"),CHAR(10),"%0A")&amp;"&amp;body="&amp;SUBSTITUTE(SUBSTITUTE(SUBSTITUTE(SUBSTITUTE(SUBSTITUTE("Ref: "&amp;A55&amp;CHAR(10)&amp;"Customer: "&amp;D55&amp;"  "&amp;E55&amp;CHAR(10)&amp;"Phone: "&amp;F55&amp;CHAR(10)&amp;"Email: "&amp;G55&amp;CHAR(10)&amp;"Prefers: "&amp;H55&amp;CHAR(10)&amp;"Enquiry: "&amp;LEFT(I55,600)&amp;CHAR(10)&amp;CHAR(10)&amp;"Sent from the Preston Mazda enquiry log.","%","%25"),"&amp;","%26")," ","%20"),"#","%23"),CHAR(10),"%0A"),"✉ Email parts"),"")</f>
        <v/>
      </c>
      <c r="U55" s="18" t="str">
        <f aca="false">IF(AND(N55="Yes",O55&lt;&gt;"Yes"),HYPERLINK("mailto:"&amp;Settings!$B$6&amp;"?subject="&amp;SUBSTITUTE(SUBSTITUTE(SUBSTITUTE(SUBSTITUTE(SUBSTITUTE("Customer contact required - "&amp;D55&amp;" "&amp;E55,"%","%25"),"&amp;","%26")," ","%20"),"#","%23"),CHAR(10),"%0A")&amp;"&amp;body="&amp;SUBSTITUTE(SUBSTITUTE(SUBSTITUTE(SUBSTITUTE(SUBSTITUTE("Ref: "&amp;A55&amp;CHAR(10)&amp;"Customer: "&amp;D55&amp;"  "&amp;E55&amp;CHAR(10)&amp;"Phone: "&amp;F55&amp;CHAR(10)&amp;"Email: "&amp;G55&amp;CHAR(10)&amp;"Prefers: "&amp;H55&amp;CHAR(10)&amp;"Enquiry: "&amp;LEFT(I55,600)&amp;CHAR(10)&amp;CHAR(10)&amp;"Sent from the Preston Mazda enquiry log.","%","%25"),"&amp;","%26")," ","%20"),"#","%23"),CHAR(10),"%0A"),"✉ Email advisors"),"")</f>
        <v/>
      </c>
      <c r="V55" s="18" t="str">
        <f aca="false">IF(OR(M55="",IFERROR(INDEX(Staff!$B$4:$B$33,MATCH(M55,Staff!$A$4:$A$33,0)),"")=""),"",HYPERLINK("mailto:"&amp;IFERROR(INDEX(Staff!$B$4:$B$33,MATCH(M55,Staff!$A$4:$A$33,0)),"")&amp;"?subject="&amp;SUBSTITUTE(SUBSTITUTE(SUBSTITUTE(SUBSTITUTE(SUBSTITUTE("Enquiry "&amp;A55&amp;" allocated to you - "&amp;D55,"%","%25"),"&amp;","%26")," ","%20"),"#","%23"),CHAR(10),"%0A")&amp;"&amp;body="&amp;SUBSTITUTE(SUBSTITUTE(SUBSTITUTE(SUBSTITUTE(SUBSTITUTE("Ref: "&amp;A55&amp;CHAR(10)&amp;"Customer: "&amp;D55&amp;"  "&amp;E55&amp;CHAR(10)&amp;"Phone: "&amp;F55&amp;CHAR(10)&amp;"Email: "&amp;G55&amp;CHAR(10)&amp;"Prefers: "&amp;H55&amp;CHAR(10)&amp;"Enquiry: "&amp;LEFT(I55,600)&amp;CHAR(10)&amp;CHAR(10)&amp;"Sent from the Preston Mazda enquiry log.","%","%25"),"&amp;","%26")," ","%20"),"#","%23"),CHAR(10),"%0A"),"✉ Email "&amp;M55))</f>
        <v/>
      </c>
      <c r="W55" s="18" t="str">
        <f aca="false">IF(OR(P55="",IFERROR(INDEX(Staff!$E$4:$E$33,MATCH(P55,Staff!$D$4:$D$33,0)),"")=""),"",HYPERLINK("mailto:"&amp;IFERROR(INDEX(Staff!$E$4:$E$33,MATCH(P55,Staff!$D$4:$D$33,0)),"")&amp;"?subject="&amp;SUBSTITUTE(SUBSTITUTE(SUBSTITUTE(SUBSTITUTE(SUBSTITUTE("Parts quote "&amp;A55&amp;" allocated to you - "&amp;D55,"%","%25"),"&amp;","%26")," ","%20"),"#","%23"),CHAR(10),"%0A")&amp;"&amp;body="&amp;SUBSTITUTE(SUBSTITUTE(SUBSTITUTE(SUBSTITUTE(SUBSTITUTE("Ref: "&amp;A55&amp;CHAR(10)&amp;"Customer: "&amp;D55&amp;"  "&amp;E55&amp;CHAR(10)&amp;"Phone: "&amp;F55&amp;CHAR(10)&amp;"Email: "&amp;G55&amp;CHAR(10)&amp;"Prefers: "&amp;H55&amp;CHAR(10)&amp;"Enquiry: "&amp;LEFT(I55,600)&amp;CHAR(10)&amp;CHAR(10)&amp;"Sent from the Preston Mazda enquiry log.","%","%25"),"&amp;","%26")," ","%20"),"#","%23"),CHAR(10),"%0A"),"✉ Email "&amp;P55))</f>
        <v/>
      </c>
    </row>
    <row r="56" customFormat="false" ht="15" hidden="false" customHeight="false" outlineLevel="0" collapsed="false">
      <c r="A56" s="10" t="str">
        <f aca="false">IF(D56="","","E-"&amp;TEXT(ROW()-3,"0000"))</f>
        <v/>
      </c>
      <c r="B56" s="11"/>
      <c r="C56" s="12"/>
      <c r="D56" s="13"/>
      <c r="E56" s="14"/>
      <c r="F56" s="12"/>
      <c r="G56" s="12"/>
      <c r="H56" s="15"/>
      <c r="I56" s="16"/>
      <c r="J56" s="17" t="str">
        <f aca="false">IF(D56="","",HYPERLINK(Settings!$B$7&amp;A56&amp;".pdf","Open "&amp;A56&amp;".pdf"))</f>
        <v/>
      </c>
      <c r="K56" s="16"/>
      <c r="L56" s="12"/>
      <c r="M56" s="12"/>
      <c r="N56" s="15"/>
      <c r="O56" s="15"/>
      <c r="P56" s="12"/>
      <c r="Q56" s="15"/>
      <c r="R56" s="15"/>
      <c r="S56" s="15" t="str">
        <f aca="false">IF(D56="","",IF(AND(O56="Yes",OR(Q56&lt;&gt;"Yes",R56="Yes")),"Complete","Open"))</f>
        <v/>
      </c>
      <c r="T56" s="18" t="str">
        <f aca="false">IF(AND(Q56="Yes",R56&lt;&gt;"Yes"),HYPERLINK("mailto:"&amp;Settings!$B$5&amp;"?subject="&amp;SUBSTITUTE(SUBSTITUTE(SUBSTITUTE(SUBSTITUTE(SUBSTITUTE("Parts quote required - "&amp;D56&amp;" "&amp;E56,"%","%25"),"&amp;","%26")," ","%20"),"#","%23"),CHAR(10),"%0A")&amp;"&amp;body="&amp;SUBSTITUTE(SUBSTITUTE(SUBSTITUTE(SUBSTITUTE(SUBSTITUTE("Ref: "&amp;A56&amp;CHAR(10)&amp;"Customer: "&amp;D56&amp;"  "&amp;E56&amp;CHAR(10)&amp;"Phone: "&amp;F56&amp;CHAR(10)&amp;"Email: "&amp;G56&amp;CHAR(10)&amp;"Prefers: "&amp;H56&amp;CHAR(10)&amp;"Enquiry: "&amp;LEFT(I56,600)&amp;CHAR(10)&amp;CHAR(10)&amp;"Sent from the Preston Mazda enquiry log.","%","%25"),"&amp;","%26")," ","%20"),"#","%23"),CHAR(10),"%0A"),"✉ Email parts"),"")</f>
        <v/>
      </c>
      <c r="U56" s="18" t="str">
        <f aca="false">IF(AND(N56="Yes",O56&lt;&gt;"Yes"),HYPERLINK("mailto:"&amp;Settings!$B$6&amp;"?subject="&amp;SUBSTITUTE(SUBSTITUTE(SUBSTITUTE(SUBSTITUTE(SUBSTITUTE("Customer contact required - "&amp;D56&amp;" "&amp;E56,"%","%25"),"&amp;","%26")," ","%20"),"#","%23"),CHAR(10),"%0A")&amp;"&amp;body="&amp;SUBSTITUTE(SUBSTITUTE(SUBSTITUTE(SUBSTITUTE(SUBSTITUTE("Ref: "&amp;A56&amp;CHAR(10)&amp;"Customer: "&amp;D56&amp;"  "&amp;E56&amp;CHAR(10)&amp;"Phone: "&amp;F56&amp;CHAR(10)&amp;"Email: "&amp;G56&amp;CHAR(10)&amp;"Prefers: "&amp;H56&amp;CHAR(10)&amp;"Enquiry: "&amp;LEFT(I56,600)&amp;CHAR(10)&amp;CHAR(10)&amp;"Sent from the Preston Mazda enquiry log.","%","%25"),"&amp;","%26")," ","%20"),"#","%23"),CHAR(10),"%0A"),"✉ Email advisors"),"")</f>
        <v/>
      </c>
      <c r="V56" s="18" t="str">
        <f aca="false">IF(OR(M56="",IFERROR(INDEX(Staff!$B$4:$B$33,MATCH(M56,Staff!$A$4:$A$33,0)),"")=""),"",HYPERLINK("mailto:"&amp;IFERROR(INDEX(Staff!$B$4:$B$33,MATCH(M56,Staff!$A$4:$A$33,0)),"")&amp;"?subject="&amp;SUBSTITUTE(SUBSTITUTE(SUBSTITUTE(SUBSTITUTE(SUBSTITUTE("Enquiry "&amp;A56&amp;" allocated to you - "&amp;D56,"%","%25"),"&amp;","%26")," ","%20"),"#","%23"),CHAR(10),"%0A")&amp;"&amp;body="&amp;SUBSTITUTE(SUBSTITUTE(SUBSTITUTE(SUBSTITUTE(SUBSTITUTE("Ref: "&amp;A56&amp;CHAR(10)&amp;"Customer: "&amp;D56&amp;"  "&amp;E56&amp;CHAR(10)&amp;"Phone: "&amp;F56&amp;CHAR(10)&amp;"Email: "&amp;G56&amp;CHAR(10)&amp;"Prefers: "&amp;H56&amp;CHAR(10)&amp;"Enquiry: "&amp;LEFT(I56,600)&amp;CHAR(10)&amp;CHAR(10)&amp;"Sent from the Preston Mazda enquiry log.","%","%25"),"&amp;","%26")," ","%20"),"#","%23"),CHAR(10),"%0A"),"✉ Email "&amp;M56))</f>
        <v/>
      </c>
      <c r="W56" s="18" t="str">
        <f aca="false">IF(OR(P56="",IFERROR(INDEX(Staff!$E$4:$E$33,MATCH(P56,Staff!$D$4:$D$33,0)),"")=""),"",HYPERLINK("mailto:"&amp;IFERROR(INDEX(Staff!$E$4:$E$33,MATCH(P56,Staff!$D$4:$D$33,0)),"")&amp;"?subject="&amp;SUBSTITUTE(SUBSTITUTE(SUBSTITUTE(SUBSTITUTE(SUBSTITUTE("Parts quote "&amp;A56&amp;" allocated to you - "&amp;D56,"%","%25"),"&amp;","%26")," ","%20"),"#","%23"),CHAR(10),"%0A")&amp;"&amp;body="&amp;SUBSTITUTE(SUBSTITUTE(SUBSTITUTE(SUBSTITUTE(SUBSTITUTE("Ref: "&amp;A56&amp;CHAR(10)&amp;"Customer: "&amp;D56&amp;"  "&amp;E56&amp;CHAR(10)&amp;"Phone: "&amp;F56&amp;CHAR(10)&amp;"Email: "&amp;G56&amp;CHAR(10)&amp;"Prefers: "&amp;H56&amp;CHAR(10)&amp;"Enquiry: "&amp;LEFT(I56,600)&amp;CHAR(10)&amp;CHAR(10)&amp;"Sent from the Preston Mazda enquiry log.","%","%25"),"&amp;","%26")," ","%20"),"#","%23"),CHAR(10),"%0A"),"✉ Email "&amp;P56))</f>
        <v/>
      </c>
    </row>
    <row r="57" customFormat="false" ht="15" hidden="false" customHeight="false" outlineLevel="0" collapsed="false">
      <c r="A57" s="10" t="str">
        <f aca="false">IF(D57="","","E-"&amp;TEXT(ROW()-3,"0000"))</f>
        <v/>
      </c>
      <c r="B57" s="11"/>
      <c r="C57" s="12"/>
      <c r="D57" s="13"/>
      <c r="E57" s="14"/>
      <c r="F57" s="12"/>
      <c r="G57" s="12"/>
      <c r="H57" s="15"/>
      <c r="I57" s="16"/>
      <c r="J57" s="17" t="str">
        <f aca="false">IF(D57="","",HYPERLINK(Settings!$B$7&amp;A57&amp;".pdf","Open "&amp;A57&amp;".pdf"))</f>
        <v/>
      </c>
      <c r="K57" s="16"/>
      <c r="L57" s="12"/>
      <c r="M57" s="12"/>
      <c r="N57" s="15"/>
      <c r="O57" s="15"/>
      <c r="P57" s="12"/>
      <c r="Q57" s="15"/>
      <c r="R57" s="15"/>
      <c r="S57" s="15" t="str">
        <f aca="false">IF(D57="","",IF(AND(O57="Yes",OR(Q57&lt;&gt;"Yes",R57="Yes")),"Complete","Open"))</f>
        <v/>
      </c>
      <c r="T57" s="18" t="str">
        <f aca="false">IF(AND(Q57="Yes",R57&lt;&gt;"Yes"),HYPERLINK("mailto:"&amp;Settings!$B$5&amp;"?subject="&amp;SUBSTITUTE(SUBSTITUTE(SUBSTITUTE(SUBSTITUTE(SUBSTITUTE("Parts quote required - "&amp;D57&amp;" "&amp;E57,"%","%25"),"&amp;","%26")," ","%20"),"#","%23"),CHAR(10),"%0A")&amp;"&amp;body="&amp;SUBSTITUTE(SUBSTITUTE(SUBSTITUTE(SUBSTITUTE(SUBSTITUTE("Ref: "&amp;A57&amp;CHAR(10)&amp;"Customer: "&amp;D57&amp;"  "&amp;E57&amp;CHAR(10)&amp;"Phone: "&amp;F57&amp;CHAR(10)&amp;"Email: "&amp;G57&amp;CHAR(10)&amp;"Prefers: "&amp;H57&amp;CHAR(10)&amp;"Enquiry: "&amp;LEFT(I57,600)&amp;CHAR(10)&amp;CHAR(10)&amp;"Sent from the Preston Mazda enquiry log.","%","%25"),"&amp;","%26")," ","%20"),"#","%23"),CHAR(10),"%0A"),"✉ Email parts"),"")</f>
        <v/>
      </c>
      <c r="U57" s="18" t="str">
        <f aca="false">IF(AND(N57="Yes",O57&lt;&gt;"Yes"),HYPERLINK("mailto:"&amp;Settings!$B$6&amp;"?subject="&amp;SUBSTITUTE(SUBSTITUTE(SUBSTITUTE(SUBSTITUTE(SUBSTITUTE("Customer contact required - "&amp;D57&amp;" "&amp;E57,"%","%25"),"&amp;","%26")," ","%20"),"#","%23"),CHAR(10),"%0A")&amp;"&amp;body="&amp;SUBSTITUTE(SUBSTITUTE(SUBSTITUTE(SUBSTITUTE(SUBSTITUTE("Ref: "&amp;A57&amp;CHAR(10)&amp;"Customer: "&amp;D57&amp;"  "&amp;E57&amp;CHAR(10)&amp;"Phone: "&amp;F57&amp;CHAR(10)&amp;"Email: "&amp;G57&amp;CHAR(10)&amp;"Prefers: "&amp;H57&amp;CHAR(10)&amp;"Enquiry: "&amp;LEFT(I57,600)&amp;CHAR(10)&amp;CHAR(10)&amp;"Sent from the Preston Mazda enquiry log.","%","%25"),"&amp;","%26")," ","%20"),"#","%23"),CHAR(10),"%0A"),"✉ Email advisors"),"")</f>
        <v/>
      </c>
      <c r="V57" s="18" t="str">
        <f aca="false">IF(OR(M57="",IFERROR(INDEX(Staff!$B$4:$B$33,MATCH(M57,Staff!$A$4:$A$33,0)),"")=""),"",HYPERLINK("mailto:"&amp;IFERROR(INDEX(Staff!$B$4:$B$33,MATCH(M57,Staff!$A$4:$A$33,0)),"")&amp;"?subject="&amp;SUBSTITUTE(SUBSTITUTE(SUBSTITUTE(SUBSTITUTE(SUBSTITUTE("Enquiry "&amp;A57&amp;" allocated to you - "&amp;D57,"%","%25"),"&amp;","%26")," ","%20"),"#","%23"),CHAR(10),"%0A")&amp;"&amp;body="&amp;SUBSTITUTE(SUBSTITUTE(SUBSTITUTE(SUBSTITUTE(SUBSTITUTE("Ref: "&amp;A57&amp;CHAR(10)&amp;"Customer: "&amp;D57&amp;"  "&amp;E57&amp;CHAR(10)&amp;"Phone: "&amp;F57&amp;CHAR(10)&amp;"Email: "&amp;G57&amp;CHAR(10)&amp;"Prefers: "&amp;H57&amp;CHAR(10)&amp;"Enquiry: "&amp;LEFT(I57,600)&amp;CHAR(10)&amp;CHAR(10)&amp;"Sent from the Preston Mazda enquiry log.","%","%25"),"&amp;","%26")," ","%20"),"#","%23"),CHAR(10),"%0A"),"✉ Email "&amp;M57))</f>
        <v/>
      </c>
      <c r="W57" s="18" t="str">
        <f aca="false">IF(OR(P57="",IFERROR(INDEX(Staff!$E$4:$E$33,MATCH(P57,Staff!$D$4:$D$33,0)),"")=""),"",HYPERLINK("mailto:"&amp;IFERROR(INDEX(Staff!$E$4:$E$33,MATCH(P57,Staff!$D$4:$D$33,0)),"")&amp;"?subject="&amp;SUBSTITUTE(SUBSTITUTE(SUBSTITUTE(SUBSTITUTE(SUBSTITUTE("Parts quote "&amp;A57&amp;" allocated to you - "&amp;D57,"%","%25"),"&amp;","%26")," ","%20"),"#","%23"),CHAR(10),"%0A")&amp;"&amp;body="&amp;SUBSTITUTE(SUBSTITUTE(SUBSTITUTE(SUBSTITUTE(SUBSTITUTE("Ref: "&amp;A57&amp;CHAR(10)&amp;"Customer: "&amp;D57&amp;"  "&amp;E57&amp;CHAR(10)&amp;"Phone: "&amp;F57&amp;CHAR(10)&amp;"Email: "&amp;G57&amp;CHAR(10)&amp;"Prefers: "&amp;H57&amp;CHAR(10)&amp;"Enquiry: "&amp;LEFT(I57,600)&amp;CHAR(10)&amp;CHAR(10)&amp;"Sent from the Preston Mazda enquiry log.","%","%25"),"&amp;","%26")," ","%20"),"#","%23"),CHAR(10),"%0A"),"✉ Email "&amp;P57))</f>
        <v/>
      </c>
    </row>
    <row r="58" customFormat="false" ht="15" hidden="false" customHeight="false" outlineLevel="0" collapsed="false">
      <c r="A58" s="10" t="str">
        <f aca="false">IF(D58="","","E-"&amp;TEXT(ROW()-3,"0000"))</f>
        <v/>
      </c>
      <c r="B58" s="11"/>
      <c r="C58" s="12"/>
      <c r="D58" s="13"/>
      <c r="E58" s="14"/>
      <c r="F58" s="12"/>
      <c r="G58" s="12"/>
      <c r="H58" s="15"/>
      <c r="I58" s="16"/>
      <c r="J58" s="17" t="str">
        <f aca="false">IF(D58="","",HYPERLINK(Settings!$B$7&amp;A58&amp;".pdf","Open "&amp;A58&amp;".pdf"))</f>
        <v/>
      </c>
      <c r="K58" s="16"/>
      <c r="L58" s="12"/>
      <c r="M58" s="12"/>
      <c r="N58" s="15"/>
      <c r="O58" s="15"/>
      <c r="P58" s="12"/>
      <c r="Q58" s="15"/>
      <c r="R58" s="15"/>
      <c r="S58" s="15" t="str">
        <f aca="false">IF(D58="","",IF(AND(O58="Yes",OR(Q58&lt;&gt;"Yes",R58="Yes")),"Complete","Open"))</f>
        <v/>
      </c>
      <c r="T58" s="18" t="str">
        <f aca="false">IF(AND(Q58="Yes",R58&lt;&gt;"Yes"),HYPERLINK("mailto:"&amp;Settings!$B$5&amp;"?subject="&amp;SUBSTITUTE(SUBSTITUTE(SUBSTITUTE(SUBSTITUTE(SUBSTITUTE("Parts quote required - "&amp;D58&amp;" "&amp;E58,"%","%25"),"&amp;","%26")," ","%20"),"#","%23"),CHAR(10),"%0A")&amp;"&amp;body="&amp;SUBSTITUTE(SUBSTITUTE(SUBSTITUTE(SUBSTITUTE(SUBSTITUTE("Ref: "&amp;A58&amp;CHAR(10)&amp;"Customer: "&amp;D58&amp;"  "&amp;E58&amp;CHAR(10)&amp;"Phone: "&amp;F58&amp;CHAR(10)&amp;"Email: "&amp;G58&amp;CHAR(10)&amp;"Prefers: "&amp;H58&amp;CHAR(10)&amp;"Enquiry: "&amp;LEFT(I58,600)&amp;CHAR(10)&amp;CHAR(10)&amp;"Sent from the Preston Mazda enquiry log.","%","%25"),"&amp;","%26")," ","%20"),"#","%23"),CHAR(10),"%0A"),"✉ Email parts"),"")</f>
        <v/>
      </c>
      <c r="U58" s="18" t="str">
        <f aca="false">IF(AND(N58="Yes",O58&lt;&gt;"Yes"),HYPERLINK("mailto:"&amp;Settings!$B$6&amp;"?subject="&amp;SUBSTITUTE(SUBSTITUTE(SUBSTITUTE(SUBSTITUTE(SUBSTITUTE("Customer contact required - "&amp;D58&amp;" "&amp;E58,"%","%25"),"&amp;","%26")," ","%20"),"#","%23"),CHAR(10),"%0A")&amp;"&amp;body="&amp;SUBSTITUTE(SUBSTITUTE(SUBSTITUTE(SUBSTITUTE(SUBSTITUTE("Ref: "&amp;A58&amp;CHAR(10)&amp;"Customer: "&amp;D58&amp;"  "&amp;E58&amp;CHAR(10)&amp;"Phone: "&amp;F58&amp;CHAR(10)&amp;"Email: "&amp;G58&amp;CHAR(10)&amp;"Prefers: "&amp;H58&amp;CHAR(10)&amp;"Enquiry: "&amp;LEFT(I58,600)&amp;CHAR(10)&amp;CHAR(10)&amp;"Sent from the Preston Mazda enquiry log.","%","%25"),"&amp;","%26")," ","%20"),"#","%23"),CHAR(10),"%0A"),"✉ Email advisors"),"")</f>
        <v/>
      </c>
      <c r="V58" s="18" t="str">
        <f aca="false">IF(OR(M58="",IFERROR(INDEX(Staff!$B$4:$B$33,MATCH(M58,Staff!$A$4:$A$33,0)),"")=""),"",HYPERLINK("mailto:"&amp;IFERROR(INDEX(Staff!$B$4:$B$33,MATCH(M58,Staff!$A$4:$A$33,0)),"")&amp;"?subject="&amp;SUBSTITUTE(SUBSTITUTE(SUBSTITUTE(SUBSTITUTE(SUBSTITUTE("Enquiry "&amp;A58&amp;" allocated to you - "&amp;D58,"%","%25"),"&amp;","%26")," ","%20"),"#","%23"),CHAR(10),"%0A")&amp;"&amp;body="&amp;SUBSTITUTE(SUBSTITUTE(SUBSTITUTE(SUBSTITUTE(SUBSTITUTE("Ref: "&amp;A58&amp;CHAR(10)&amp;"Customer: "&amp;D58&amp;"  "&amp;E58&amp;CHAR(10)&amp;"Phone: "&amp;F58&amp;CHAR(10)&amp;"Email: "&amp;G58&amp;CHAR(10)&amp;"Prefers: "&amp;H58&amp;CHAR(10)&amp;"Enquiry: "&amp;LEFT(I58,600)&amp;CHAR(10)&amp;CHAR(10)&amp;"Sent from the Preston Mazda enquiry log.","%","%25"),"&amp;","%26")," ","%20"),"#","%23"),CHAR(10),"%0A"),"✉ Email "&amp;M58))</f>
        <v/>
      </c>
      <c r="W58" s="18" t="str">
        <f aca="false">IF(OR(P58="",IFERROR(INDEX(Staff!$E$4:$E$33,MATCH(P58,Staff!$D$4:$D$33,0)),"")=""),"",HYPERLINK("mailto:"&amp;IFERROR(INDEX(Staff!$E$4:$E$33,MATCH(P58,Staff!$D$4:$D$33,0)),"")&amp;"?subject="&amp;SUBSTITUTE(SUBSTITUTE(SUBSTITUTE(SUBSTITUTE(SUBSTITUTE("Parts quote "&amp;A58&amp;" allocated to you - "&amp;D58,"%","%25"),"&amp;","%26")," ","%20"),"#","%23"),CHAR(10),"%0A")&amp;"&amp;body="&amp;SUBSTITUTE(SUBSTITUTE(SUBSTITUTE(SUBSTITUTE(SUBSTITUTE("Ref: "&amp;A58&amp;CHAR(10)&amp;"Customer: "&amp;D58&amp;"  "&amp;E58&amp;CHAR(10)&amp;"Phone: "&amp;F58&amp;CHAR(10)&amp;"Email: "&amp;G58&amp;CHAR(10)&amp;"Prefers: "&amp;H58&amp;CHAR(10)&amp;"Enquiry: "&amp;LEFT(I58,600)&amp;CHAR(10)&amp;CHAR(10)&amp;"Sent from the Preston Mazda enquiry log.","%","%25"),"&amp;","%26")," ","%20"),"#","%23"),CHAR(10),"%0A"),"✉ Email "&amp;P58))</f>
        <v/>
      </c>
    </row>
    <row r="59" customFormat="false" ht="15" hidden="false" customHeight="false" outlineLevel="0" collapsed="false">
      <c r="A59" s="10" t="str">
        <f aca="false">IF(D59="","","E-"&amp;TEXT(ROW()-3,"0000"))</f>
        <v/>
      </c>
      <c r="B59" s="11"/>
      <c r="C59" s="12"/>
      <c r="D59" s="13"/>
      <c r="E59" s="14"/>
      <c r="F59" s="12"/>
      <c r="G59" s="12"/>
      <c r="H59" s="15"/>
      <c r="I59" s="16"/>
      <c r="J59" s="17" t="str">
        <f aca="false">IF(D59="","",HYPERLINK(Settings!$B$7&amp;A59&amp;".pdf","Open "&amp;A59&amp;".pdf"))</f>
        <v/>
      </c>
      <c r="K59" s="16"/>
      <c r="L59" s="12"/>
      <c r="M59" s="12"/>
      <c r="N59" s="15"/>
      <c r="O59" s="15"/>
      <c r="P59" s="12"/>
      <c r="Q59" s="15"/>
      <c r="R59" s="15"/>
      <c r="S59" s="15" t="str">
        <f aca="false">IF(D59="","",IF(AND(O59="Yes",OR(Q59&lt;&gt;"Yes",R59="Yes")),"Complete","Open"))</f>
        <v/>
      </c>
      <c r="T59" s="18" t="str">
        <f aca="false">IF(AND(Q59="Yes",R59&lt;&gt;"Yes"),HYPERLINK("mailto:"&amp;Settings!$B$5&amp;"?subject="&amp;SUBSTITUTE(SUBSTITUTE(SUBSTITUTE(SUBSTITUTE(SUBSTITUTE("Parts quote required - "&amp;D59&amp;" "&amp;E59,"%","%25"),"&amp;","%26")," ","%20"),"#","%23"),CHAR(10),"%0A")&amp;"&amp;body="&amp;SUBSTITUTE(SUBSTITUTE(SUBSTITUTE(SUBSTITUTE(SUBSTITUTE("Ref: "&amp;A59&amp;CHAR(10)&amp;"Customer: "&amp;D59&amp;"  "&amp;E59&amp;CHAR(10)&amp;"Phone: "&amp;F59&amp;CHAR(10)&amp;"Email: "&amp;G59&amp;CHAR(10)&amp;"Prefers: "&amp;H59&amp;CHAR(10)&amp;"Enquiry: "&amp;LEFT(I59,600)&amp;CHAR(10)&amp;CHAR(10)&amp;"Sent from the Preston Mazda enquiry log.","%","%25"),"&amp;","%26")," ","%20"),"#","%23"),CHAR(10),"%0A"),"✉ Email parts"),"")</f>
        <v/>
      </c>
      <c r="U59" s="18" t="str">
        <f aca="false">IF(AND(N59="Yes",O59&lt;&gt;"Yes"),HYPERLINK("mailto:"&amp;Settings!$B$6&amp;"?subject="&amp;SUBSTITUTE(SUBSTITUTE(SUBSTITUTE(SUBSTITUTE(SUBSTITUTE("Customer contact required - "&amp;D59&amp;" "&amp;E59,"%","%25"),"&amp;","%26")," ","%20"),"#","%23"),CHAR(10),"%0A")&amp;"&amp;body="&amp;SUBSTITUTE(SUBSTITUTE(SUBSTITUTE(SUBSTITUTE(SUBSTITUTE("Ref: "&amp;A59&amp;CHAR(10)&amp;"Customer: "&amp;D59&amp;"  "&amp;E59&amp;CHAR(10)&amp;"Phone: "&amp;F59&amp;CHAR(10)&amp;"Email: "&amp;G59&amp;CHAR(10)&amp;"Prefers: "&amp;H59&amp;CHAR(10)&amp;"Enquiry: "&amp;LEFT(I59,600)&amp;CHAR(10)&amp;CHAR(10)&amp;"Sent from the Preston Mazda enquiry log.","%","%25"),"&amp;","%26")," ","%20"),"#","%23"),CHAR(10),"%0A"),"✉ Email advisors"),"")</f>
        <v/>
      </c>
      <c r="V59" s="18" t="str">
        <f aca="false">IF(OR(M59="",IFERROR(INDEX(Staff!$B$4:$B$33,MATCH(M59,Staff!$A$4:$A$33,0)),"")=""),"",HYPERLINK("mailto:"&amp;IFERROR(INDEX(Staff!$B$4:$B$33,MATCH(M59,Staff!$A$4:$A$33,0)),"")&amp;"?subject="&amp;SUBSTITUTE(SUBSTITUTE(SUBSTITUTE(SUBSTITUTE(SUBSTITUTE("Enquiry "&amp;A59&amp;" allocated to you - "&amp;D59,"%","%25"),"&amp;","%26")," ","%20"),"#","%23"),CHAR(10),"%0A")&amp;"&amp;body="&amp;SUBSTITUTE(SUBSTITUTE(SUBSTITUTE(SUBSTITUTE(SUBSTITUTE("Ref: "&amp;A59&amp;CHAR(10)&amp;"Customer: "&amp;D59&amp;"  "&amp;E59&amp;CHAR(10)&amp;"Phone: "&amp;F59&amp;CHAR(10)&amp;"Email: "&amp;G59&amp;CHAR(10)&amp;"Prefers: "&amp;H59&amp;CHAR(10)&amp;"Enquiry: "&amp;LEFT(I59,600)&amp;CHAR(10)&amp;CHAR(10)&amp;"Sent from the Preston Mazda enquiry log.","%","%25"),"&amp;","%26")," ","%20"),"#","%23"),CHAR(10),"%0A"),"✉ Email "&amp;M59))</f>
        <v/>
      </c>
      <c r="W59" s="18" t="str">
        <f aca="false">IF(OR(P59="",IFERROR(INDEX(Staff!$E$4:$E$33,MATCH(P59,Staff!$D$4:$D$33,0)),"")=""),"",HYPERLINK("mailto:"&amp;IFERROR(INDEX(Staff!$E$4:$E$33,MATCH(P59,Staff!$D$4:$D$33,0)),"")&amp;"?subject="&amp;SUBSTITUTE(SUBSTITUTE(SUBSTITUTE(SUBSTITUTE(SUBSTITUTE("Parts quote "&amp;A59&amp;" allocated to you - "&amp;D59,"%","%25"),"&amp;","%26")," ","%20"),"#","%23"),CHAR(10),"%0A")&amp;"&amp;body="&amp;SUBSTITUTE(SUBSTITUTE(SUBSTITUTE(SUBSTITUTE(SUBSTITUTE("Ref: "&amp;A59&amp;CHAR(10)&amp;"Customer: "&amp;D59&amp;"  "&amp;E59&amp;CHAR(10)&amp;"Phone: "&amp;F59&amp;CHAR(10)&amp;"Email: "&amp;G59&amp;CHAR(10)&amp;"Prefers: "&amp;H59&amp;CHAR(10)&amp;"Enquiry: "&amp;LEFT(I59,600)&amp;CHAR(10)&amp;CHAR(10)&amp;"Sent from the Preston Mazda enquiry log.","%","%25"),"&amp;","%26")," ","%20"),"#","%23"),CHAR(10),"%0A"),"✉ Email "&amp;P59))</f>
        <v/>
      </c>
    </row>
    <row r="60" customFormat="false" ht="15" hidden="false" customHeight="false" outlineLevel="0" collapsed="false">
      <c r="A60" s="10" t="str">
        <f aca="false">IF(D60="","","E-"&amp;TEXT(ROW()-3,"0000"))</f>
        <v/>
      </c>
      <c r="B60" s="11"/>
      <c r="C60" s="12"/>
      <c r="D60" s="13"/>
      <c r="E60" s="14"/>
      <c r="F60" s="12"/>
      <c r="G60" s="12"/>
      <c r="H60" s="15"/>
      <c r="I60" s="16"/>
      <c r="J60" s="17" t="str">
        <f aca="false">IF(D60="","",HYPERLINK(Settings!$B$7&amp;A60&amp;".pdf","Open "&amp;A60&amp;".pdf"))</f>
        <v/>
      </c>
      <c r="K60" s="16"/>
      <c r="L60" s="12"/>
      <c r="M60" s="12"/>
      <c r="N60" s="15"/>
      <c r="O60" s="15"/>
      <c r="P60" s="12"/>
      <c r="Q60" s="15"/>
      <c r="R60" s="15"/>
      <c r="S60" s="15" t="str">
        <f aca="false">IF(D60="","",IF(AND(O60="Yes",OR(Q60&lt;&gt;"Yes",R60="Yes")),"Complete","Open"))</f>
        <v/>
      </c>
      <c r="T60" s="18" t="str">
        <f aca="false">IF(AND(Q60="Yes",R60&lt;&gt;"Yes"),HYPERLINK("mailto:"&amp;Settings!$B$5&amp;"?subject="&amp;SUBSTITUTE(SUBSTITUTE(SUBSTITUTE(SUBSTITUTE(SUBSTITUTE("Parts quote required - "&amp;D60&amp;" "&amp;E60,"%","%25"),"&amp;","%26")," ","%20"),"#","%23"),CHAR(10),"%0A")&amp;"&amp;body="&amp;SUBSTITUTE(SUBSTITUTE(SUBSTITUTE(SUBSTITUTE(SUBSTITUTE("Ref: "&amp;A60&amp;CHAR(10)&amp;"Customer: "&amp;D60&amp;"  "&amp;E60&amp;CHAR(10)&amp;"Phone: "&amp;F60&amp;CHAR(10)&amp;"Email: "&amp;G60&amp;CHAR(10)&amp;"Prefers: "&amp;H60&amp;CHAR(10)&amp;"Enquiry: "&amp;LEFT(I60,600)&amp;CHAR(10)&amp;CHAR(10)&amp;"Sent from the Preston Mazda enquiry log.","%","%25"),"&amp;","%26")," ","%20"),"#","%23"),CHAR(10),"%0A"),"✉ Email parts"),"")</f>
        <v/>
      </c>
      <c r="U60" s="18" t="str">
        <f aca="false">IF(AND(N60="Yes",O60&lt;&gt;"Yes"),HYPERLINK("mailto:"&amp;Settings!$B$6&amp;"?subject="&amp;SUBSTITUTE(SUBSTITUTE(SUBSTITUTE(SUBSTITUTE(SUBSTITUTE("Customer contact required - "&amp;D60&amp;" "&amp;E60,"%","%25"),"&amp;","%26")," ","%20"),"#","%23"),CHAR(10),"%0A")&amp;"&amp;body="&amp;SUBSTITUTE(SUBSTITUTE(SUBSTITUTE(SUBSTITUTE(SUBSTITUTE("Ref: "&amp;A60&amp;CHAR(10)&amp;"Customer: "&amp;D60&amp;"  "&amp;E60&amp;CHAR(10)&amp;"Phone: "&amp;F60&amp;CHAR(10)&amp;"Email: "&amp;G60&amp;CHAR(10)&amp;"Prefers: "&amp;H60&amp;CHAR(10)&amp;"Enquiry: "&amp;LEFT(I60,600)&amp;CHAR(10)&amp;CHAR(10)&amp;"Sent from the Preston Mazda enquiry log.","%","%25"),"&amp;","%26")," ","%20"),"#","%23"),CHAR(10),"%0A"),"✉ Email advisors"),"")</f>
        <v/>
      </c>
      <c r="V60" s="18" t="str">
        <f aca="false">IF(OR(M60="",IFERROR(INDEX(Staff!$B$4:$B$33,MATCH(M60,Staff!$A$4:$A$33,0)),"")=""),"",HYPERLINK("mailto:"&amp;IFERROR(INDEX(Staff!$B$4:$B$33,MATCH(M60,Staff!$A$4:$A$33,0)),"")&amp;"?subject="&amp;SUBSTITUTE(SUBSTITUTE(SUBSTITUTE(SUBSTITUTE(SUBSTITUTE("Enquiry "&amp;A60&amp;" allocated to you - "&amp;D60,"%","%25"),"&amp;","%26")," ","%20"),"#","%23"),CHAR(10),"%0A")&amp;"&amp;body="&amp;SUBSTITUTE(SUBSTITUTE(SUBSTITUTE(SUBSTITUTE(SUBSTITUTE("Ref: "&amp;A60&amp;CHAR(10)&amp;"Customer: "&amp;D60&amp;"  "&amp;E60&amp;CHAR(10)&amp;"Phone: "&amp;F60&amp;CHAR(10)&amp;"Email: "&amp;G60&amp;CHAR(10)&amp;"Prefers: "&amp;H60&amp;CHAR(10)&amp;"Enquiry: "&amp;LEFT(I60,600)&amp;CHAR(10)&amp;CHAR(10)&amp;"Sent from the Preston Mazda enquiry log.","%","%25"),"&amp;","%26")," ","%20"),"#","%23"),CHAR(10),"%0A"),"✉ Email "&amp;M60))</f>
        <v/>
      </c>
      <c r="W60" s="18" t="str">
        <f aca="false">IF(OR(P60="",IFERROR(INDEX(Staff!$E$4:$E$33,MATCH(P60,Staff!$D$4:$D$33,0)),"")=""),"",HYPERLINK("mailto:"&amp;IFERROR(INDEX(Staff!$E$4:$E$33,MATCH(P60,Staff!$D$4:$D$33,0)),"")&amp;"?subject="&amp;SUBSTITUTE(SUBSTITUTE(SUBSTITUTE(SUBSTITUTE(SUBSTITUTE("Parts quote "&amp;A60&amp;" allocated to you - "&amp;D60,"%","%25"),"&amp;","%26")," ","%20"),"#","%23"),CHAR(10),"%0A")&amp;"&amp;body="&amp;SUBSTITUTE(SUBSTITUTE(SUBSTITUTE(SUBSTITUTE(SUBSTITUTE("Ref: "&amp;A60&amp;CHAR(10)&amp;"Customer: "&amp;D60&amp;"  "&amp;E60&amp;CHAR(10)&amp;"Phone: "&amp;F60&amp;CHAR(10)&amp;"Email: "&amp;G60&amp;CHAR(10)&amp;"Prefers: "&amp;H60&amp;CHAR(10)&amp;"Enquiry: "&amp;LEFT(I60,600)&amp;CHAR(10)&amp;CHAR(10)&amp;"Sent from the Preston Mazda enquiry log.","%","%25"),"&amp;","%26")," ","%20"),"#","%23"),CHAR(10),"%0A"),"✉ Email "&amp;P60))</f>
        <v/>
      </c>
    </row>
    <row r="61" customFormat="false" ht="15" hidden="false" customHeight="false" outlineLevel="0" collapsed="false">
      <c r="A61" s="10" t="str">
        <f aca="false">IF(D61="","","E-"&amp;TEXT(ROW()-3,"0000"))</f>
        <v/>
      </c>
      <c r="B61" s="11"/>
      <c r="C61" s="12"/>
      <c r="D61" s="13"/>
      <c r="E61" s="14"/>
      <c r="F61" s="12"/>
      <c r="G61" s="12"/>
      <c r="H61" s="15"/>
      <c r="I61" s="16"/>
      <c r="J61" s="17" t="str">
        <f aca="false">IF(D61="","",HYPERLINK(Settings!$B$7&amp;A61&amp;".pdf","Open "&amp;A61&amp;".pdf"))</f>
        <v/>
      </c>
      <c r="K61" s="16"/>
      <c r="L61" s="12"/>
      <c r="M61" s="12"/>
      <c r="N61" s="15"/>
      <c r="O61" s="15"/>
      <c r="P61" s="12"/>
      <c r="Q61" s="15"/>
      <c r="R61" s="15"/>
      <c r="S61" s="15" t="str">
        <f aca="false">IF(D61="","",IF(AND(O61="Yes",OR(Q61&lt;&gt;"Yes",R61="Yes")),"Complete","Open"))</f>
        <v/>
      </c>
      <c r="T61" s="18" t="str">
        <f aca="false">IF(AND(Q61="Yes",R61&lt;&gt;"Yes"),HYPERLINK("mailto:"&amp;Settings!$B$5&amp;"?subject="&amp;SUBSTITUTE(SUBSTITUTE(SUBSTITUTE(SUBSTITUTE(SUBSTITUTE("Parts quote required - "&amp;D61&amp;" "&amp;E61,"%","%25"),"&amp;","%26")," ","%20"),"#","%23"),CHAR(10),"%0A")&amp;"&amp;body="&amp;SUBSTITUTE(SUBSTITUTE(SUBSTITUTE(SUBSTITUTE(SUBSTITUTE("Ref: "&amp;A61&amp;CHAR(10)&amp;"Customer: "&amp;D61&amp;"  "&amp;E61&amp;CHAR(10)&amp;"Phone: "&amp;F61&amp;CHAR(10)&amp;"Email: "&amp;G61&amp;CHAR(10)&amp;"Prefers: "&amp;H61&amp;CHAR(10)&amp;"Enquiry: "&amp;LEFT(I61,600)&amp;CHAR(10)&amp;CHAR(10)&amp;"Sent from the Preston Mazda enquiry log.","%","%25"),"&amp;","%26")," ","%20"),"#","%23"),CHAR(10),"%0A"),"✉ Email parts"),"")</f>
        <v/>
      </c>
      <c r="U61" s="18" t="str">
        <f aca="false">IF(AND(N61="Yes",O61&lt;&gt;"Yes"),HYPERLINK("mailto:"&amp;Settings!$B$6&amp;"?subject="&amp;SUBSTITUTE(SUBSTITUTE(SUBSTITUTE(SUBSTITUTE(SUBSTITUTE("Customer contact required - "&amp;D61&amp;" "&amp;E61,"%","%25"),"&amp;","%26")," ","%20"),"#","%23"),CHAR(10),"%0A")&amp;"&amp;body="&amp;SUBSTITUTE(SUBSTITUTE(SUBSTITUTE(SUBSTITUTE(SUBSTITUTE("Ref: "&amp;A61&amp;CHAR(10)&amp;"Customer: "&amp;D61&amp;"  "&amp;E61&amp;CHAR(10)&amp;"Phone: "&amp;F61&amp;CHAR(10)&amp;"Email: "&amp;G61&amp;CHAR(10)&amp;"Prefers: "&amp;H61&amp;CHAR(10)&amp;"Enquiry: "&amp;LEFT(I61,600)&amp;CHAR(10)&amp;CHAR(10)&amp;"Sent from the Preston Mazda enquiry log.","%","%25"),"&amp;","%26")," ","%20"),"#","%23"),CHAR(10),"%0A"),"✉ Email advisors"),"")</f>
        <v/>
      </c>
      <c r="V61" s="18" t="str">
        <f aca="false">IF(OR(M61="",IFERROR(INDEX(Staff!$B$4:$B$33,MATCH(M61,Staff!$A$4:$A$33,0)),"")=""),"",HYPERLINK("mailto:"&amp;IFERROR(INDEX(Staff!$B$4:$B$33,MATCH(M61,Staff!$A$4:$A$33,0)),"")&amp;"?subject="&amp;SUBSTITUTE(SUBSTITUTE(SUBSTITUTE(SUBSTITUTE(SUBSTITUTE("Enquiry "&amp;A61&amp;" allocated to you - "&amp;D61,"%","%25"),"&amp;","%26")," ","%20"),"#","%23"),CHAR(10),"%0A")&amp;"&amp;body="&amp;SUBSTITUTE(SUBSTITUTE(SUBSTITUTE(SUBSTITUTE(SUBSTITUTE("Ref: "&amp;A61&amp;CHAR(10)&amp;"Customer: "&amp;D61&amp;"  "&amp;E61&amp;CHAR(10)&amp;"Phone: "&amp;F61&amp;CHAR(10)&amp;"Email: "&amp;G61&amp;CHAR(10)&amp;"Prefers: "&amp;H61&amp;CHAR(10)&amp;"Enquiry: "&amp;LEFT(I61,600)&amp;CHAR(10)&amp;CHAR(10)&amp;"Sent from the Preston Mazda enquiry log.","%","%25"),"&amp;","%26")," ","%20"),"#","%23"),CHAR(10),"%0A"),"✉ Email "&amp;M61))</f>
        <v/>
      </c>
      <c r="W61" s="18" t="str">
        <f aca="false">IF(OR(P61="",IFERROR(INDEX(Staff!$E$4:$E$33,MATCH(P61,Staff!$D$4:$D$33,0)),"")=""),"",HYPERLINK("mailto:"&amp;IFERROR(INDEX(Staff!$E$4:$E$33,MATCH(P61,Staff!$D$4:$D$33,0)),"")&amp;"?subject="&amp;SUBSTITUTE(SUBSTITUTE(SUBSTITUTE(SUBSTITUTE(SUBSTITUTE("Parts quote "&amp;A61&amp;" allocated to you - "&amp;D61,"%","%25"),"&amp;","%26")," ","%20"),"#","%23"),CHAR(10),"%0A")&amp;"&amp;body="&amp;SUBSTITUTE(SUBSTITUTE(SUBSTITUTE(SUBSTITUTE(SUBSTITUTE("Ref: "&amp;A61&amp;CHAR(10)&amp;"Customer: "&amp;D61&amp;"  "&amp;E61&amp;CHAR(10)&amp;"Phone: "&amp;F61&amp;CHAR(10)&amp;"Email: "&amp;G61&amp;CHAR(10)&amp;"Prefers: "&amp;H61&amp;CHAR(10)&amp;"Enquiry: "&amp;LEFT(I61,600)&amp;CHAR(10)&amp;CHAR(10)&amp;"Sent from the Preston Mazda enquiry log.","%","%25"),"&amp;","%26")," ","%20"),"#","%23"),CHAR(10),"%0A"),"✉ Email "&amp;P61))</f>
        <v/>
      </c>
    </row>
    <row r="62" customFormat="false" ht="15" hidden="false" customHeight="false" outlineLevel="0" collapsed="false">
      <c r="A62" s="10" t="str">
        <f aca="false">IF(D62="","","E-"&amp;TEXT(ROW()-3,"0000"))</f>
        <v/>
      </c>
      <c r="B62" s="11"/>
      <c r="C62" s="12"/>
      <c r="D62" s="13"/>
      <c r="E62" s="14"/>
      <c r="F62" s="12"/>
      <c r="G62" s="12"/>
      <c r="H62" s="15"/>
      <c r="I62" s="16"/>
      <c r="J62" s="17" t="str">
        <f aca="false">IF(D62="","",HYPERLINK(Settings!$B$7&amp;A62&amp;".pdf","Open "&amp;A62&amp;".pdf"))</f>
        <v/>
      </c>
      <c r="K62" s="16"/>
      <c r="L62" s="12"/>
      <c r="M62" s="12"/>
      <c r="N62" s="15"/>
      <c r="O62" s="15"/>
      <c r="P62" s="12"/>
      <c r="Q62" s="15"/>
      <c r="R62" s="15"/>
      <c r="S62" s="15" t="str">
        <f aca="false">IF(D62="","",IF(AND(O62="Yes",OR(Q62&lt;&gt;"Yes",R62="Yes")),"Complete","Open"))</f>
        <v/>
      </c>
      <c r="T62" s="18" t="str">
        <f aca="false">IF(AND(Q62="Yes",R62&lt;&gt;"Yes"),HYPERLINK("mailto:"&amp;Settings!$B$5&amp;"?subject="&amp;SUBSTITUTE(SUBSTITUTE(SUBSTITUTE(SUBSTITUTE(SUBSTITUTE("Parts quote required - "&amp;D62&amp;" "&amp;E62,"%","%25"),"&amp;","%26")," ","%20"),"#","%23"),CHAR(10),"%0A")&amp;"&amp;body="&amp;SUBSTITUTE(SUBSTITUTE(SUBSTITUTE(SUBSTITUTE(SUBSTITUTE("Ref: "&amp;A62&amp;CHAR(10)&amp;"Customer: "&amp;D62&amp;"  "&amp;E62&amp;CHAR(10)&amp;"Phone: "&amp;F62&amp;CHAR(10)&amp;"Email: "&amp;G62&amp;CHAR(10)&amp;"Prefers: "&amp;H62&amp;CHAR(10)&amp;"Enquiry: "&amp;LEFT(I62,600)&amp;CHAR(10)&amp;CHAR(10)&amp;"Sent from the Preston Mazda enquiry log.","%","%25"),"&amp;","%26")," ","%20"),"#","%23"),CHAR(10),"%0A"),"✉ Email parts"),"")</f>
        <v/>
      </c>
      <c r="U62" s="18" t="str">
        <f aca="false">IF(AND(N62="Yes",O62&lt;&gt;"Yes"),HYPERLINK("mailto:"&amp;Settings!$B$6&amp;"?subject="&amp;SUBSTITUTE(SUBSTITUTE(SUBSTITUTE(SUBSTITUTE(SUBSTITUTE("Customer contact required - "&amp;D62&amp;" "&amp;E62,"%","%25"),"&amp;","%26")," ","%20"),"#","%23"),CHAR(10),"%0A")&amp;"&amp;body="&amp;SUBSTITUTE(SUBSTITUTE(SUBSTITUTE(SUBSTITUTE(SUBSTITUTE("Ref: "&amp;A62&amp;CHAR(10)&amp;"Customer: "&amp;D62&amp;"  "&amp;E62&amp;CHAR(10)&amp;"Phone: "&amp;F62&amp;CHAR(10)&amp;"Email: "&amp;G62&amp;CHAR(10)&amp;"Prefers: "&amp;H62&amp;CHAR(10)&amp;"Enquiry: "&amp;LEFT(I62,600)&amp;CHAR(10)&amp;CHAR(10)&amp;"Sent from the Preston Mazda enquiry log.","%","%25"),"&amp;","%26")," ","%20"),"#","%23"),CHAR(10),"%0A"),"✉ Email advisors"),"")</f>
        <v/>
      </c>
      <c r="V62" s="18" t="str">
        <f aca="false">IF(OR(M62="",IFERROR(INDEX(Staff!$B$4:$B$33,MATCH(M62,Staff!$A$4:$A$33,0)),"")=""),"",HYPERLINK("mailto:"&amp;IFERROR(INDEX(Staff!$B$4:$B$33,MATCH(M62,Staff!$A$4:$A$33,0)),"")&amp;"?subject="&amp;SUBSTITUTE(SUBSTITUTE(SUBSTITUTE(SUBSTITUTE(SUBSTITUTE("Enquiry "&amp;A62&amp;" allocated to you - "&amp;D62,"%","%25"),"&amp;","%26")," ","%20"),"#","%23"),CHAR(10),"%0A")&amp;"&amp;body="&amp;SUBSTITUTE(SUBSTITUTE(SUBSTITUTE(SUBSTITUTE(SUBSTITUTE("Ref: "&amp;A62&amp;CHAR(10)&amp;"Customer: "&amp;D62&amp;"  "&amp;E62&amp;CHAR(10)&amp;"Phone: "&amp;F62&amp;CHAR(10)&amp;"Email: "&amp;G62&amp;CHAR(10)&amp;"Prefers: "&amp;H62&amp;CHAR(10)&amp;"Enquiry: "&amp;LEFT(I62,600)&amp;CHAR(10)&amp;CHAR(10)&amp;"Sent from the Preston Mazda enquiry log.","%","%25"),"&amp;","%26")," ","%20"),"#","%23"),CHAR(10),"%0A"),"✉ Email "&amp;M62))</f>
        <v/>
      </c>
      <c r="W62" s="18" t="str">
        <f aca="false">IF(OR(P62="",IFERROR(INDEX(Staff!$E$4:$E$33,MATCH(P62,Staff!$D$4:$D$33,0)),"")=""),"",HYPERLINK("mailto:"&amp;IFERROR(INDEX(Staff!$E$4:$E$33,MATCH(P62,Staff!$D$4:$D$33,0)),"")&amp;"?subject="&amp;SUBSTITUTE(SUBSTITUTE(SUBSTITUTE(SUBSTITUTE(SUBSTITUTE("Parts quote "&amp;A62&amp;" allocated to you - "&amp;D62,"%","%25"),"&amp;","%26")," ","%20"),"#","%23"),CHAR(10),"%0A")&amp;"&amp;body="&amp;SUBSTITUTE(SUBSTITUTE(SUBSTITUTE(SUBSTITUTE(SUBSTITUTE("Ref: "&amp;A62&amp;CHAR(10)&amp;"Customer: "&amp;D62&amp;"  "&amp;E62&amp;CHAR(10)&amp;"Phone: "&amp;F62&amp;CHAR(10)&amp;"Email: "&amp;G62&amp;CHAR(10)&amp;"Prefers: "&amp;H62&amp;CHAR(10)&amp;"Enquiry: "&amp;LEFT(I62,600)&amp;CHAR(10)&amp;CHAR(10)&amp;"Sent from the Preston Mazda enquiry log.","%","%25"),"&amp;","%26")," ","%20"),"#","%23"),CHAR(10),"%0A"),"✉ Email "&amp;P62))</f>
        <v/>
      </c>
    </row>
    <row r="63" customFormat="false" ht="15" hidden="false" customHeight="false" outlineLevel="0" collapsed="false">
      <c r="A63" s="10" t="str">
        <f aca="false">IF(D63="","","E-"&amp;TEXT(ROW()-3,"0000"))</f>
        <v/>
      </c>
      <c r="B63" s="11"/>
      <c r="C63" s="12"/>
      <c r="D63" s="13"/>
      <c r="E63" s="14"/>
      <c r="F63" s="12"/>
      <c r="G63" s="12"/>
      <c r="H63" s="15"/>
      <c r="I63" s="16"/>
      <c r="J63" s="17" t="str">
        <f aca="false">IF(D63="","",HYPERLINK(Settings!$B$7&amp;A63&amp;".pdf","Open "&amp;A63&amp;".pdf"))</f>
        <v/>
      </c>
      <c r="K63" s="16"/>
      <c r="L63" s="12"/>
      <c r="M63" s="12"/>
      <c r="N63" s="15"/>
      <c r="O63" s="15"/>
      <c r="P63" s="12"/>
      <c r="Q63" s="15"/>
      <c r="R63" s="15"/>
      <c r="S63" s="15" t="str">
        <f aca="false">IF(D63="","",IF(AND(O63="Yes",OR(Q63&lt;&gt;"Yes",R63="Yes")),"Complete","Open"))</f>
        <v/>
      </c>
      <c r="T63" s="18" t="str">
        <f aca="false">IF(AND(Q63="Yes",R63&lt;&gt;"Yes"),HYPERLINK("mailto:"&amp;Settings!$B$5&amp;"?subject="&amp;SUBSTITUTE(SUBSTITUTE(SUBSTITUTE(SUBSTITUTE(SUBSTITUTE("Parts quote required - "&amp;D63&amp;" "&amp;E63,"%","%25"),"&amp;","%26")," ","%20"),"#","%23"),CHAR(10),"%0A")&amp;"&amp;body="&amp;SUBSTITUTE(SUBSTITUTE(SUBSTITUTE(SUBSTITUTE(SUBSTITUTE("Ref: "&amp;A63&amp;CHAR(10)&amp;"Customer: "&amp;D63&amp;"  "&amp;E63&amp;CHAR(10)&amp;"Phone: "&amp;F63&amp;CHAR(10)&amp;"Email: "&amp;G63&amp;CHAR(10)&amp;"Prefers: "&amp;H63&amp;CHAR(10)&amp;"Enquiry: "&amp;LEFT(I63,600)&amp;CHAR(10)&amp;CHAR(10)&amp;"Sent from the Preston Mazda enquiry log.","%","%25"),"&amp;","%26")," ","%20"),"#","%23"),CHAR(10),"%0A"),"✉ Email parts"),"")</f>
        <v/>
      </c>
      <c r="U63" s="18" t="str">
        <f aca="false">IF(AND(N63="Yes",O63&lt;&gt;"Yes"),HYPERLINK("mailto:"&amp;Settings!$B$6&amp;"?subject="&amp;SUBSTITUTE(SUBSTITUTE(SUBSTITUTE(SUBSTITUTE(SUBSTITUTE("Customer contact required - "&amp;D63&amp;" "&amp;E63,"%","%25"),"&amp;","%26")," ","%20"),"#","%23"),CHAR(10),"%0A")&amp;"&amp;body="&amp;SUBSTITUTE(SUBSTITUTE(SUBSTITUTE(SUBSTITUTE(SUBSTITUTE("Ref: "&amp;A63&amp;CHAR(10)&amp;"Customer: "&amp;D63&amp;"  "&amp;E63&amp;CHAR(10)&amp;"Phone: "&amp;F63&amp;CHAR(10)&amp;"Email: "&amp;G63&amp;CHAR(10)&amp;"Prefers: "&amp;H63&amp;CHAR(10)&amp;"Enquiry: "&amp;LEFT(I63,600)&amp;CHAR(10)&amp;CHAR(10)&amp;"Sent from the Preston Mazda enquiry log.","%","%25"),"&amp;","%26")," ","%20"),"#","%23"),CHAR(10),"%0A"),"✉ Email advisors"),"")</f>
        <v/>
      </c>
      <c r="V63" s="18" t="str">
        <f aca="false">IF(OR(M63="",IFERROR(INDEX(Staff!$B$4:$B$33,MATCH(M63,Staff!$A$4:$A$33,0)),"")=""),"",HYPERLINK("mailto:"&amp;IFERROR(INDEX(Staff!$B$4:$B$33,MATCH(M63,Staff!$A$4:$A$33,0)),"")&amp;"?subject="&amp;SUBSTITUTE(SUBSTITUTE(SUBSTITUTE(SUBSTITUTE(SUBSTITUTE("Enquiry "&amp;A63&amp;" allocated to you - "&amp;D63,"%","%25"),"&amp;","%26")," ","%20"),"#","%23"),CHAR(10),"%0A")&amp;"&amp;body="&amp;SUBSTITUTE(SUBSTITUTE(SUBSTITUTE(SUBSTITUTE(SUBSTITUTE("Ref: "&amp;A63&amp;CHAR(10)&amp;"Customer: "&amp;D63&amp;"  "&amp;E63&amp;CHAR(10)&amp;"Phone: "&amp;F63&amp;CHAR(10)&amp;"Email: "&amp;G63&amp;CHAR(10)&amp;"Prefers: "&amp;H63&amp;CHAR(10)&amp;"Enquiry: "&amp;LEFT(I63,600)&amp;CHAR(10)&amp;CHAR(10)&amp;"Sent from the Preston Mazda enquiry log.","%","%25"),"&amp;","%26")," ","%20"),"#","%23"),CHAR(10),"%0A"),"✉ Email "&amp;M63))</f>
        <v/>
      </c>
      <c r="W63" s="18" t="str">
        <f aca="false">IF(OR(P63="",IFERROR(INDEX(Staff!$E$4:$E$33,MATCH(P63,Staff!$D$4:$D$33,0)),"")=""),"",HYPERLINK("mailto:"&amp;IFERROR(INDEX(Staff!$E$4:$E$33,MATCH(P63,Staff!$D$4:$D$33,0)),"")&amp;"?subject="&amp;SUBSTITUTE(SUBSTITUTE(SUBSTITUTE(SUBSTITUTE(SUBSTITUTE("Parts quote "&amp;A63&amp;" allocated to you - "&amp;D63,"%","%25"),"&amp;","%26")," ","%20"),"#","%23"),CHAR(10),"%0A")&amp;"&amp;body="&amp;SUBSTITUTE(SUBSTITUTE(SUBSTITUTE(SUBSTITUTE(SUBSTITUTE("Ref: "&amp;A63&amp;CHAR(10)&amp;"Customer: "&amp;D63&amp;"  "&amp;E63&amp;CHAR(10)&amp;"Phone: "&amp;F63&amp;CHAR(10)&amp;"Email: "&amp;G63&amp;CHAR(10)&amp;"Prefers: "&amp;H63&amp;CHAR(10)&amp;"Enquiry: "&amp;LEFT(I63,600)&amp;CHAR(10)&amp;CHAR(10)&amp;"Sent from the Preston Mazda enquiry log.","%","%25"),"&amp;","%26")," ","%20"),"#","%23"),CHAR(10),"%0A"),"✉ Email "&amp;P63))</f>
        <v/>
      </c>
    </row>
    <row r="64" customFormat="false" ht="15" hidden="false" customHeight="false" outlineLevel="0" collapsed="false">
      <c r="A64" s="10" t="str">
        <f aca="false">IF(D64="","","E-"&amp;TEXT(ROW()-3,"0000"))</f>
        <v/>
      </c>
      <c r="B64" s="11"/>
      <c r="C64" s="12"/>
      <c r="D64" s="13"/>
      <c r="E64" s="14"/>
      <c r="F64" s="12"/>
      <c r="G64" s="12"/>
      <c r="H64" s="15"/>
      <c r="I64" s="16"/>
      <c r="J64" s="17" t="str">
        <f aca="false">IF(D64="","",HYPERLINK(Settings!$B$7&amp;A64&amp;".pdf","Open "&amp;A64&amp;".pdf"))</f>
        <v/>
      </c>
      <c r="K64" s="16"/>
      <c r="L64" s="12"/>
      <c r="M64" s="12"/>
      <c r="N64" s="15"/>
      <c r="O64" s="15"/>
      <c r="P64" s="12"/>
      <c r="Q64" s="15"/>
      <c r="R64" s="15"/>
      <c r="S64" s="15" t="str">
        <f aca="false">IF(D64="","",IF(AND(O64="Yes",OR(Q64&lt;&gt;"Yes",R64="Yes")),"Complete","Open"))</f>
        <v/>
      </c>
      <c r="T64" s="18" t="str">
        <f aca="false">IF(AND(Q64="Yes",R64&lt;&gt;"Yes"),HYPERLINK("mailto:"&amp;Settings!$B$5&amp;"?subject="&amp;SUBSTITUTE(SUBSTITUTE(SUBSTITUTE(SUBSTITUTE(SUBSTITUTE("Parts quote required - "&amp;D64&amp;" "&amp;E64,"%","%25"),"&amp;","%26")," ","%20"),"#","%23"),CHAR(10),"%0A")&amp;"&amp;body="&amp;SUBSTITUTE(SUBSTITUTE(SUBSTITUTE(SUBSTITUTE(SUBSTITUTE("Ref: "&amp;A64&amp;CHAR(10)&amp;"Customer: "&amp;D64&amp;"  "&amp;E64&amp;CHAR(10)&amp;"Phone: "&amp;F64&amp;CHAR(10)&amp;"Email: "&amp;G64&amp;CHAR(10)&amp;"Prefers: "&amp;H64&amp;CHAR(10)&amp;"Enquiry: "&amp;LEFT(I64,600)&amp;CHAR(10)&amp;CHAR(10)&amp;"Sent from the Preston Mazda enquiry log.","%","%25"),"&amp;","%26")," ","%20"),"#","%23"),CHAR(10),"%0A"),"✉ Email parts"),"")</f>
        <v/>
      </c>
      <c r="U64" s="18" t="str">
        <f aca="false">IF(AND(N64="Yes",O64&lt;&gt;"Yes"),HYPERLINK("mailto:"&amp;Settings!$B$6&amp;"?subject="&amp;SUBSTITUTE(SUBSTITUTE(SUBSTITUTE(SUBSTITUTE(SUBSTITUTE("Customer contact required - "&amp;D64&amp;" "&amp;E64,"%","%25"),"&amp;","%26")," ","%20"),"#","%23"),CHAR(10),"%0A")&amp;"&amp;body="&amp;SUBSTITUTE(SUBSTITUTE(SUBSTITUTE(SUBSTITUTE(SUBSTITUTE("Ref: "&amp;A64&amp;CHAR(10)&amp;"Customer: "&amp;D64&amp;"  "&amp;E64&amp;CHAR(10)&amp;"Phone: "&amp;F64&amp;CHAR(10)&amp;"Email: "&amp;G64&amp;CHAR(10)&amp;"Prefers: "&amp;H64&amp;CHAR(10)&amp;"Enquiry: "&amp;LEFT(I64,600)&amp;CHAR(10)&amp;CHAR(10)&amp;"Sent from the Preston Mazda enquiry log.","%","%25"),"&amp;","%26")," ","%20"),"#","%23"),CHAR(10),"%0A"),"✉ Email advisors"),"")</f>
        <v/>
      </c>
      <c r="V64" s="18" t="str">
        <f aca="false">IF(OR(M64="",IFERROR(INDEX(Staff!$B$4:$B$33,MATCH(M64,Staff!$A$4:$A$33,0)),"")=""),"",HYPERLINK("mailto:"&amp;IFERROR(INDEX(Staff!$B$4:$B$33,MATCH(M64,Staff!$A$4:$A$33,0)),"")&amp;"?subject="&amp;SUBSTITUTE(SUBSTITUTE(SUBSTITUTE(SUBSTITUTE(SUBSTITUTE("Enquiry "&amp;A64&amp;" allocated to you - "&amp;D64,"%","%25"),"&amp;","%26")," ","%20"),"#","%23"),CHAR(10),"%0A")&amp;"&amp;body="&amp;SUBSTITUTE(SUBSTITUTE(SUBSTITUTE(SUBSTITUTE(SUBSTITUTE("Ref: "&amp;A64&amp;CHAR(10)&amp;"Customer: "&amp;D64&amp;"  "&amp;E64&amp;CHAR(10)&amp;"Phone: "&amp;F64&amp;CHAR(10)&amp;"Email: "&amp;G64&amp;CHAR(10)&amp;"Prefers: "&amp;H64&amp;CHAR(10)&amp;"Enquiry: "&amp;LEFT(I64,600)&amp;CHAR(10)&amp;CHAR(10)&amp;"Sent from the Preston Mazda enquiry log.","%","%25"),"&amp;","%26")," ","%20"),"#","%23"),CHAR(10),"%0A"),"✉ Email "&amp;M64))</f>
        <v/>
      </c>
      <c r="W64" s="18" t="str">
        <f aca="false">IF(OR(P64="",IFERROR(INDEX(Staff!$E$4:$E$33,MATCH(P64,Staff!$D$4:$D$33,0)),"")=""),"",HYPERLINK("mailto:"&amp;IFERROR(INDEX(Staff!$E$4:$E$33,MATCH(P64,Staff!$D$4:$D$33,0)),"")&amp;"?subject="&amp;SUBSTITUTE(SUBSTITUTE(SUBSTITUTE(SUBSTITUTE(SUBSTITUTE("Parts quote "&amp;A64&amp;" allocated to you - "&amp;D64,"%","%25"),"&amp;","%26")," ","%20"),"#","%23"),CHAR(10),"%0A")&amp;"&amp;body="&amp;SUBSTITUTE(SUBSTITUTE(SUBSTITUTE(SUBSTITUTE(SUBSTITUTE("Ref: "&amp;A64&amp;CHAR(10)&amp;"Customer: "&amp;D64&amp;"  "&amp;E64&amp;CHAR(10)&amp;"Phone: "&amp;F64&amp;CHAR(10)&amp;"Email: "&amp;G64&amp;CHAR(10)&amp;"Prefers: "&amp;H64&amp;CHAR(10)&amp;"Enquiry: "&amp;LEFT(I64,600)&amp;CHAR(10)&amp;CHAR(10)&amp;"Sent from the Preston Mazda enquiry log.","%","%25"),"&amp;","%26")," ","%20"),"#","%23"),CHAR(10),"%0A"),"✉ Email "&amp;P64))</f>
        <v/>
      </c>
    </row>
    <row r="65" customFormat="false" ht="15" hidden="false" customHeight="false" outlineLevel="0" collapsed="false">
      <c r="A65" s="10" t="str">
        <f aca="false">IF(D65="","","E-"&amp;TEXT(ROW()-3,"0000"))</f>
        <v/>
      </c>
      <c r="B65" s="11"/>
      <c r="C65" s="12"/>
      <c r="D65" s="13"/>
      <c r="E65" s="14"/>
      <c r="F65" s="12"/>
      <c r="G65" s="12"/>
      <c r="H65" s="15"/>
      <c r="I65" s="16"/>
      <c r="J65" s="17" t="str">
        <f aca="false">IF(D65="","",HYPERLINK(Settings!$B$7&amp;A65&amp;".pdf","Open "&amp;A65&amp;".pdf"))</f>
        <v/>
      </c>
      <c r="K65" s="16"/>
      <c r="L65" s="12"/>
      <c r="M65" s="12"/>
      <c r="N65" s="15"/>
      <c r="O65" s="15"/>
      <c r="P65" s="12"/>
      <c r="Q65" s="15"/>
      <c r="R65" s="15"/>
      <c r="S65" s="15" t="str">
        <f aca="false">IF(D65="","",IF(AND(O65="Yes",OR(Q65&lt;&gt;"Yes",R65="Yes")),"Complete","Open"))</f>
        <v/>
      </c>
      <c r="T65" s="18" t="str">
        <f aca="false">IF(AND(Q65="Yes",R65&lt;&gt;"Yes"),HYPERLINK("mailto:"&amp;Settings!$B$5&amp;"?subject="&amp;SUBSTITUTE(SUBSTITUTE(SUBSTITUTE(SUBSTITUTE(SUBSTITUTE("Parts quote required - "&amp;D65&amp;" "&amp;E65,"%","%25"),"&amp;","%26")," ","%20"),"#","%23"),CHAR(10),"%0A")&amp;"&amp;body="&amp;SUBSTITUTE(SUBSTITUTE(SUBSTITUTE(SUBSTITUTE(SUBSTITUTE("Ref: "&amp;A65&amp;CHAR(10)&amp;"Customer: "&amp;D65&amp;"  "&amp;E65&amp;CHAR(10)&amp;"Phone: "&amp;F65&amp;CHAR(10)&amp;"Email: "&amp;G65&amp;CHAR(10)&amp;"Prefers: "&amp;H65&amp;CHAR(10)&amp;"Enquiry: "&amp;LEFT(I65,600)&amp;CHAR(10)&amp;CHAR(10)&amp;"Sent from the Preston Mazda enquiry log.","%","%25"),"&amp;","%26")," ","%20"),"#","%23"),CHAR(10),"%0A"),"✉ Email parts"),"")</f>
        <v/>
      </c>
      <c r="U65" s="18" t="str">
        <f aca="false">IF(AND(N65="Yes",O65&lt;&gt;"Yes"),HYPERLINK("mailto:"&amp;Settings!$B$6&amp;"?subject="&amp;SUBSTITUTE(SUBSTITUTE(SUBSTITUTE(SUBSTITUTE(SUBSTITUTE("Customer contact required - "&amp;D65&amp;" "&amp;E65,"%","%25"),"&amp;","%26")," ","%20"),"#","%23"),CHAR(10),"%0A")&amp;"&amp;body="&amp;SUBSTITUTE(SUBSTITUTE(SUBSTITUTE(SUBSTITUTE(SUBSTITUTE("Ref: "&amp;A65&amp;CHAR(10)&amp;"Customer: "&amp;D65&amp;"  "&amp;E65&amp;CHAR(10)&amp;"Phone: "&amp;F65&amp;CHAR(10)&amp;"Email: "&amp;G65&amp;CHAR(10)&amp;"Prefers: "&amp;H65&amp;CHAR(10)&amp;"Enquiry: "&amp;LEFT(I65,600)&amp;CHAR(10)&amp;CHAR(10)&amp;"Sent from the Preston Mazda enquiry log.","%","%25"),"&amp;","%26")," ","%20"),"#","%23"),CHAR(10),"%0A"),"✉ Email advisors"),"")</f>
        <v/>
      </c>
      <c r="V65" s="18" t="str">
        <f aca="false">IF(OR(M65="",IFERROR(INDEX(Staff!$B$4:$B$33,MATCH(M65,Staff!$A$4:$A$33,0)),"")=""),"",HYPERLINK("mailto:"&amp;IFERROR(INDEX(Staff!$B$4:$B$33,MATCH(M65,Staff!$A$4:$A$33,0)),"")&amp;"?subject="&amp;SUBSTITUTE(SUBSTITUTE(SUBSTITUTE(SUBSTITUTE(SUBSTITUTE("Enquiry "&amp;A65&amp;" allocated to you - "&amp;D65,"%","%25"),"&amp;","%26")," ","%20"),"#","%23"),CHAR(10),"%0A")&amp;"&amp;body="&amp;SUBSTITUTE(SUBSTITUTE(SUBSTITUTE(SUBSTITUTE(SUBSTITUTE("Ref: "&amp;A65&amp;CHAR(10)&amp;"Customer: "&amp;D65&amp;"  "&amp;E65&amp;CHAR(10)&amp;"Phone: "&amp;F65&amp;CHAR(10)&amp;"Email: "&amp;G65&amp;CHAR(10)&amp;"Prefers: "&amp;H65&amp;CHAR(10)&amp;"Enquiry: "&amp;LEFT(I65,600)&amp;CHAR(10)&amp;CHAR(10)&amp;"Sent from the Preston Mazda enquiry log.","%","%25"),"&amp;","%26")," ","%20"),"#","%23"),CHAR(10),"%0A"),"✉ Email "&amp;M65))</f>
        <v/>
      </c>
      <c r="W65" s="18" t="str">
        <f aca="false">IF(OR(P65="",IFERROR(INDEX(Staff!$E$4:$E$33,MATCH(P65,Staff!$D$4:$D$33,0)),"")=""),"",HYPERLINK("mailto:"&amp;IFERROR(INDEX(Staff!$E$4:$E$33,MATCH(P65,Staff!$D$4:$D$33,0)),"")&amp;"?subject="&amp;SUBSTITUTE(SUBSTITUTE(SUBSTITUTE(SUBSTITUTE(SUBSTITUTE("Parts quote "&amp;A65&amp;" allocated to you - "&amp;D65,"%","%25"),"&amp;","%26")," ","%20"),"#","%23"),CHAR(10),"%0A")&amp;"&amp;body="&amp;SUBSTITUTE(SUBSTITUTE(SUBSTITUTE(SUBSTITUTE(SUBSTITUTE("Ref: "&amp;A65&amp;CHAR(10)&amp;"Customer: "&amp;D65&amp;"  "&amp;E65&amp;CHAR(10)&amp;"Phone: "&amp;F65&amp;CHAR(10)&amp;"Email: "&amp;G65&amp;CHAR(10)&amp;"Prefers: "&amp;H65&amp;CHAR(10)&amp;"Enquiry: "&amp;LEFT(I65,600)&amp;CHAR(10)&amp;CHAR(10)&amp;"Sent from the Preston Mazda enquiry log.","%","%25"),"&amp;","%26")," ","%20"),"#","%23"),CHAR(10),"%0A"),"✉ Email "&amp;P65))</f>
        <v/>
      </c>
    </row>
    <row r="66" customFormat="false" ht="15" hidden="false" customHeight="false" outlineLevel="0" collapsed="false">
      <c r="A66" s="10" t="str">
        <f aca="false">IF(D66="","","E-"&amp;TEXT(ROW()-3,"0000"))</f>
        <v/>
      </c>
      <c r="B66" s="11"/>
      <c r="C66" s="12"/>
      <c r="D66" s="13"/>
      <c r="E66" s="14"/>
      <c r="F66" s="12"/>
      <c r="G66" s="12"/>
      <c r="H66" s="15"/>
      <c r="I66" s="16"/>
      <c r="J66" s="17" t="str">
        <f aca="false">IF(D66="","",HYPERLINK(Settings!$B$7&amp;A66&amp;".pdf","Open "&amp;A66&amp;".pdf"))</f>
        <v/>
      </c>
      <c r="K66" s="16"/>
      <c r="L66" s="12"/>
      <c r="M66" s="12"/>
      <c r="N66" s="15"/>
      <c r="O66" s="15"/>
      <c r="P66" s="12"/>
      <c r="Q66" s="15"/>
      <c r="R66" s="15"/>
      <c r="S66" s="15" t="str">
        <f aca="false">IF(D66="","",IF(AND(O66="Yes",OR(Q66&lt;&gt;"Yes",R66="Yes")),"Complete","Open"))</f>
        <v/>
      </c>
      <c r="T66" s="18" t="str">
        <f aca="false">IF(AND(Q66="Yes",R66&lt;&gt;"Yes"),HYPERLINK("mailto:"&amp;Settings!$B$5&amp;"?subject="&amp;SUBSTITUTE(SUBSTITUTE(SUBSTITUTE(SUBSTITUTE(SUBSTITUTE("Parts quote required - "&amp;D66&amp;" "&amp;E66,"%","%25"),"&amp;","%26")," ","%20"),"#","%23"),CHAR(10),"%0A")&amp;"&amp;body="&amp;SUBSTITUTE(SUBSTITUTE(SUBSTITUTE(SUBSTITUTE(SUBSTITUTE("Ref: "&amp;A66&amp;CHAR(10)&amp;"Customer: "&amp;D66&amp;"  "&amp;E66&amp;CHAR(10)&amp;"Phone: "&amp;F66&amp;CHAR(10)&amp;"Email: "&amp;G66&amp;CHAR(10)&amp;"Prefers: "&amp;H66&amp;CHAR(10)&amp;"Enquiry: "&amp;LEFT(I66,600)&amp;CHAR(10)&amp;CHAR(10)&amp;"Sent from the Preston Mazda enquiry log.","%","%25"),"&amp;","%26")," ","%20"),"#","%23"),CHAR(10),"%0A"),"✉ Email parts"),"")</f>
        <v/>
      </c>
      <c r="U66" s="18" t="str">
        <f aca="false">IF(AND(N66="Yes",O66&lt;&gt;"Yes"),HYPERLINK("mailto:"&amp;Settings!$B$6&amp;"?subject="&amp;SUBSTITUTE(SUBSTITUTE(SUBSTITUTE(SUBSTITUTE(SUBSTITUTE("Customer contact required - "&amp;D66&amp;" "&amp;E66,"%","%25"),"&amp;","%26")," ","%20"),"#","%23"),CHAR(10),"%0A")&amp;"&amp;body="&amp;SUBSTITUTE(SUBSTITUTE(SUBSTITUTE(SUBSTITUTE(SUBSTITUTE("Ref: "&amp;A66&amp;CHAR(10)&amp;"Customer: "&amp;D66&amp;"  "&amp;E66&amp;CHAR(10)&amp;"Phone: "&amp;F66&amp;CHAR(10)&amp;"Email: "&amp;G66&amp;CHAR(10)&amp;"Prefers: "&amp;H66&amp;CHAR(10)&amp;"Enquiry: "&amp;LEFT(I66,600)&amp;CHAR(10)&amp;CHAR(10)&amp;"Sent from the Preston Mazda enquiry log.","%","%25"),"&amp;","%26")," ","%20"),"#","%23"),CHAR(10),"%0A"),"✉ Email advisors"),"")</f>
        <v/>
      </c>
      <c r="V66" s="18" t="str">
        <f aca="false">IF(OR(M66="",IFERROR(INDEX(Staff!$B$4:$B$33,MATCH(M66,Staff!$A$4:$A$33,0)),"")=""),"",HYPERLINK("mailto:"&amp;IFERROR(INDEX(Staff!$B$4:$B$33,MATCH(M66,Staff!$A$4:$A$33,0)),"")&amp;"?subject="&amp;SUBSTITUTE(SUBSTITUTE(SUBSTITUTE(SUBSTITUTE(SUBSTITUTE("Enquiry "&amp;A66&amp;" allocated to you - "&amp;D66,"%","%25"),"&amp;","%26")," ","%20"),"#","%23"),CHAR(10),"%0A")&amp;"&amp;body="&amp;SUBSTITUTE(SUBSTITUTE(SUBSTITUTE(SUBSTITUTE(SUBSTITUTE("Ref: "&amp;A66&amp;CHAR(10)&amp;"Customer: "&amp;D66&amp;"  "&amp;E66&amp;CHAR(10)&amp;"Phone: "&amp;F66&amp;CHAR(10)&amp;"Email: "&amp;G66&amp;CHAR(10)&amp;"Prefers: "&amp;H66&amp;CHAR(10)&amp;"Enquiry: "&amp;LEFT(I66,600)&amp;CHAR(10)&amp;CHAR(10)&amp;"Sent from the Preston Mazda enquiry log.","%","%25"),"&amp;","%26")," ","%20"),"#","%23"),CHAR(10),"%0A"),"✉ Email "&amp;M66))</f>
        <v/>
      </c>
      <c r="W66" s="18" t="str">
        <f aca="false">IF(OR(P66="",IFERROR(INDEX(Staff!$E$4:$E$33,MATCH(P66,Staff!$D$4:$D$33,0)),"")=""),"",HYPERLINK("mailto:"&amp;IFERROR(INDEX(Staff!$E$4:$E$33,MATCH(P66,Staff!$D$4:$D$33,0)),"")&amp;"?subject="&amp;SUBSTITUTE(SUBSTITUTE(SUBSTITUTE(SUBSTITUTE(SUBSTITUTE("Parts quote "&amp;A66&amp;" allocated to you - "&amp;D66,"%","%25"),"&amp;","%26")," ","%20"),"#","%23"),CHAR(10),"%0A")&amp;"&amp;body="&amp;SUBSTITUTE(SUBSTITUTE(SUBSTITUTE(SUBSTITUTE(SUBSTITUTE("Ref: "&amp;A66&amp;CHAR(10)&amp;"Customer: "&amp;D66&amp;"  "&amp;E66&amp;CHAR(10)&amp;"Phone: "&amp;F66&amp;CHAR(10)&amp;"Email: "&amp;G66&amp;CHAR(10)&amp;"Prefers: "&amp;H66&amp;CHAR(10)&amp;"Enquiry: "&amp;LEFT(I66,600)&amp;CHAR(10)&amp;CHAR(10)&amp;"Sent from the Preston Mazda enquiry log.","%","%25"),"&amp;","%26")," ","%20"),"#","%23"),CHAR(10),"%0A"),"✉ Email "&amp;P66))</f>
        <v/>
      </c>
    </row>
    <row r="67" customFormat="false" ht="15" hidden="false" customHeight="false" outlineLevel="0" collapsed="false">
      <c r="A67" s="10" t="str">
        <f aca="false">IF(D67="","","E-"&amp;TEXT(ROW()-3,"0000"))</f>
        <v/>
      </c>
      <c r="B67" s="11"/>
      <c r="C67" s="12"/>
      <c r="D67" s="13"/>
      <c r="E67" s="14"/>
      <c r="F67" s="12"/>
      <c r="G67" s="12"/>
      <c r="H67" s="15"/>
      <c r="I67" s="16"/>
      <c r="J67" s="17" t="str">
        <f aca="false">IF(D67="","",HYPERLINK(Settings!$B$7&amp;A67&amp;".pdf","Open "&amp;A67&amp;".pdf"))</f>
        <v/>
      </c>
      <c r="K67" s="16"/>
      <c r="L67" s="12"/>
      <c r="M67" s="12"/>
      <c r="N67" s="15"/>
      <c r="O67" s="15"/>
      <c r="P67" s="12"/>
      <c r="Q67" s="15"/>
      <c r="R67" s="15"/>
      <c r="S67" s="15" t="str">
        <f aca="false">IF(D67="","",IF(AND(O67="Yes",OR(Q67&lt;&gt;"Yes",R67="Yes")),"Complete","Open"))</f>
        <v/>
      </c>
      <c r="T67" s="18" t="str">
        <f aca="false">IF(AND(Q67="Yes",R67&lt;&gt;"Yes"),HYPERLINK("mailto:"&amp;Settings!$B$5&amp;"?subject="&amp;SUBSTITUTE(SUBSTITUTE(SUBSTITUTE(SUBSTITUTE(SUBSTITUTE("Parts quote required - "&amp;D67&amp;" "&amp;E67,"%","%25"),"&amp;","%26")," ","%20"),"#","%23"),CHAR(10),"%0A")&amp;"&amp;body="&amp;SUBSTITUTE(SUBSTITUTE(SUBSTITUTE(SUBSTITUTE(SUBSTITUTE("Ref: "&amp;A67&amp;CHAR(10)&amp;"Customer: "&amp;D67&amp;"  "&amp;E67&amp;CHAR(10)&amp;"Phone: "&amp;F67&amp;CHAR(10)&amp;"Email: "&amp;G67&amp;CHAR(10)&amp;"Prefers: "&amp;H67&amp;CHAR(10)&amp;"Enquiry: "&amp;LEFT(I67,600)&amp;CHAR(10)&amp;CHAR(10)&amp;"Sent from the Preston Mazda enquiry log.","%","%25"),"&amp;","%26")," ","%20"),"#","%23"),CHAR(10),"%0A"),"✉ Email parts"),"")</f>
        <v/>
      </c>
      <c r="U67" s="18" t="str">
        <f aca="false">IF(AND(N67="Yes",O67&lt;&gt;"Yes"),HYPERLINK("mailto:"&amp;Settings!$B$6&amp;"?subject="&amp;SUBSTITUTE(SUBSTITUTE(SUBSTITUTE(SUBSTITUTE(SUBSTITUTE("Customer contact required - "&amp;D67&amp;" "&amp;E67,"%","%25"),"&amp;","%26")," ","%20"),"#","%23"),CHAR(10),"%0A")&amp;"&amp;body="&amp;SUBSTITUTE(SUBSTITUTE(SUBSTITUTE(SUBSTITUTE(SUBSTITUTE("Ref: "&amp;A67&amp;CHAR(10)&amp;"Customer: "&amp;D67&amp;"  "&amp;E67&amp;CHAR(10)&amp;"Phone: "&amp;F67&amp;CHAR(10)&amp;"Email: "&amp;G67&amp;CHAR(10)&amp;"Prefers: "&amp;H67&amp;CHAR(10)&amp;"Enquiry: "&amp;LEFT(I67,600)&amp;CHAR(10)&amp;CHAR(10)&amp;"Sent from the Preston Mazda enquiry log.","%","%25"),"&amp;","%26")," ","%20"),"#","%23"),CHAR(10),"%0A"),"✉ Email advisors"),"")</f>
        <v/>
      </c>
      <c r="V67" s="18" t="str">
        <f aca="false">IF(OR(M67="",IFERROR(INDEX(Staff!$B$4:$B$33,MATCH(M67,Staff!$A$4:$A$33,0)),"")=""),"",HYPERLINK("mailto:"&amp;IFERROR(INDEX(Staff!$B$4:$B$33,MATCH(M67,Staff!$A$4:$A$33,0)),"")&amp;"?subject="&amp;SUBSTITUTE(SUBSTITUTE(SUBSTITUTE(SUBSTITUTE(SUBSTITUTE("Enquiry "&amp;A67&amp;" allocated to you - "&amp;D67,"%","%25"),"&amp;","%26")," ","%20"),"#","%23"),CHAR(10),"%0A")&amp;"&amp;body="&amp;SUBSTITUTE(SUBSTITUTE(SUBSTITUTE(SUBSTITUTE(SUBSTITUTE("Ref: "&amp;A67&amp;CHAR(10)&amp;"Customer: "&amp;D67&amp;"  "&amp;E67&amp;CHAR(10)&amp;"Phone: "&amp;F67&amp;CHAR(10)&amp;"Email: "&amp;G67&amp;CHAR(10)&amp;"Prefers: "&amp;H67&amp;CHAR(10)&amp;"Enquiry: "&amp;LEFT(I67,600)&amp;CHAR(10)&amp;CHAR(10)&amp;"Sent from the Preston Mazda enquiry log.","%","%25"),"&amp;","%26")," ","%20"),"#","%23"),CHAR(10),"%0A"),"✉ Email "&amp;M67))</f>
        <v/>
      </c>
      <c r="W67" s="18" t="str">
        <f aca="false">IF(OR(P67="",IFERROR(INDEX(Staff!$E$4:$E$33,MATCH(P67,Staff!$D$4:$D$33,0)),"")=""),"",HYPERLINK("mailto:"&amp;IFERROR(INDEX(Staff!$E$4:$E$33,MATCH(P67,Staff!$D$4:$D$33,0)),"")&amp;"?subject="&amp;SUBSTITUTE(SUBSTITUTE(SUBSTITUTE(SUBSTITUTE(SUBSTITUTE("Parts quote "&amp;A67&amp;" allocated to you - "&amp;D67,"%","%25"),"&amp;","%26")," ","%20"),"#","%23"),CHAR(10),"%0A")&amp;"&amp;body="&amp;SUBSTITUTE(SUBSTITUTE(SUBSTITUTE(SUBSTITUTE(SUBSTITUTE("Ref: "&amp;A67&amp;CHAR(10)&amp;"Customer: "&amp;D67&amp;"  "&amp;E67&amp;CHAR(10)&amp;"Phone: "&amp;F67&amp;CHAR(10)&amp;"Email: "&amp;G67&amp;CHAR(10)&amp;"Prefers: "&amp;H67&amp;CHAR(10)&amp;"Enquiry: "&amp;LEFT(I67,600)&amp;CHAR(10)&amp;CHAR(10)&amp;"Sent from the Preston Mazda enquiry log.","%","%25"),"&amp;","%26")," ","%20"),"#","%23"),CHAR(10),"%0A"),"✉ Email "&amp;P67))</f>
        <v/>
      </c>
    </row>
    <row r="68" customFormat="false" ht="15" hidden="false" customHeight="false" outlineLevel="0" collapsed="false">
      <c r="A68" s="10" t="str">
        <f aca="false">IF(D68="","","E-"&amp;TEXT(ROW()-3,"0000"))</f>
        <v/>
      </c>
      <c r="B68" s="11"/>
      <c r="C68" s="12"/>
      <c r="D68" s="13"/>
      <c r="E68" s="14"/>
      <c r="F68" s="12"/>
      <c r="G68" s="12"/>
      <c r="H68" s="15"/>
      <c r="I68" s="16"/>
      <c r="J68" s="17" t="str">
        <f aca="false">IF(D68="","",HYPERLINK(Settings!$B$7&amp;A68&amp;".pdf","Open "&amp;A68&amp;".pdf"))</f>
        <v/>
      </c>
      <c r="K68" s="16"/>
      <c r="L68" s="12"/>
      <c r="M68" s="12"/>
      <c r="N68" s="15"/>
      <c r="O68" s="15"/>
      <c r="P68" s="12"/>
      <c r="Q68" s="15"/>
      <c r="R68" s="15"/>
      <c r="S68" s="15" t="str">
        <f aca="false">IF(D68="","",IF(AND(O68="Yes",OR(Q68&lt;&gt;"Yes",R68="Yes")),"Complete","Open"))</f>
        <v/>
      </c>
      <c r="T68" s="18" t="str">
        <f aca="false">IF(AND(Q68="Yes",R68&lt;&gt;"Yes"),HYPERLINK("mailto:"&amp;Settings!$B$5&amp;"?subject="&amp;SUBSTITUTE(SUBSTITUTE(SUBSTITUTE(SUBSTITUTE(SUBSTITUTE("Parts quote required - "&amp;D68&amp;" "&amp;E68,"%","%25"),"&amp;","%26")," ","%20"),"#","%23"),CHAR(10),"%0A")&amp;"&amp;body="&amp;SUBSTITUTE(SUBSTITUTE(SUBSTITUTE(SUBSTITUTE(SUBSTITUTE("Ref: "&amp;A68&amp;CHAR(10)&amp;"Customer: "&amp;D68&amp;"  "&amp;E68&amp;CHAR(10)&amp;"Phone: "&amp;F68&amp;CHAR(10)&amp;"Email: "&amp;G68&amp;CHAR(10)&amp;"Prefers: "&amp;H68&amp;CHAR(10)&amp;"Enquiry: "&amp;LEFT(I68,600)&amp;CHAR(10)&amp;CHAR(10)&amp;"Sent from the Preston Mazda enquiry log.","%","%25"),"&amp;","%26")," ","%20"),"#","%23"),CHAR(10),"%0A"),"✉ Email parts"),"")</f>
        <v/>
      </c>
      <c r="U68" s="18" t="str">
        <f aca="false">IF(AND(N68="Yes",O68&lt;&gt;"Yes"),HYPERLINK("mailto:"&amp;Settings!$B$6&amp;"?subject="&amp;SUBSTITUTE(SUBSTITUTE(SUBSTITUTE(SUBSTITUTE(SUBSTITUTE("Customer contact required - "&amp;D68&amp;" "&amp;E68,"%","%25"),"&amp;","%26")," ","%20"),"#","%23"),CHAR(10),"%0A")&amp;"&amp;body="&amp;SUBSTITUTE(SUBSTITUTE(SUBSTITUTE(SUBSTITUTE(SUBSTITUTE("Ref: "&amp;A68&amp;CHAR(10)&amp;"Customer: "&amp;D68&amp;"  "&amp;E68&amp;CHAR(10)&amp;"Phone: "&amp;F68&amp;CHAR(10)&amp;"Email: "&amp;G68&amp;CHAR(10)&amp;"Prefers: "&amp;H68&amp;CHAR(10)&amp;"Enquiry: "&amp;LEFT(I68,600)&amp;CHAR(10)&amp;CHAR(10)&amp;"Sent from the Preston Mazda enquiry log.","%","%25"),"&amp;","%26")," ","%20"),"#","%23"),CHAR(10),"%0A"),"✉ Email advisors"),"")</f>
        <v/>
      </c>
      <c r="V68" s="18" t="str">
        <f aca="false">IF(OR(M68="",IFERROR(INDEX(Staff!$B$4:$B$33,MATCH(M68,Staff!$A$4:$A$33,0)),"")=""),"",HYPERLINK("mailto:"&amp;IFERROR(INDEX(Staff!$B$4:$B$33,MATCH(M68,Staff!$A$4:$A$33,0)),"")&amp;"?subject="&amp;SUBSTITUTE(SUBSTITUTE(SUBSTITUTE(SUBSTITUTE(SUBSTITUTE("Enquiry "&amp;A68&amp;" allocated to you - "&amp;D68,"%","%25"),"&amp;","%26")," ","%20"),"#","%23"),CHAR(10),"%0A")&amp;"&amp;body="&amp;SUBSTITUTE(SUBSTITUTE(SUBSTITUTE(SUBSTITUTE(SUBSTITUTE("Ref: "&amp;A68&amp;CHAR(10)&amp;"Customer: "&amp;D68&amp;"  "&amp;E68&amp;CHAR(10)&amp;"Phone: "&amp;F68&amp;CHAR(10)&amp;"Email: "&amp;G68&amp;CHAR(10)&amp;"Prefers: "&amp;H68&amp;CHAR(10)&amp;"Enquiry: "&amp;LEFT(I68,600)&amp;CHAR(10)&amp;CHAR(10)&amp;"Sent from the Preston Mazda enquiry log.","%","%25"),"&amp;","%26")," ","%20"),"#","%23"),CHAR(10),"%0A"),"✉ Email "&amp;M68))</f>
        <v/>
      </c>
      <c r="W68" s="18" t="str">
        <f aca="false">IF(OR(P68="",IFERROR(INDEX(Staff!$E$4:$E$33,MATCH(P68,Staff!$D$4:$D$33,0)),"")=""),"",HYPERLINK("mailto:"&amp;IFERROR(INDEX(Staff!$E$4:$E$33,MATCH(P68,Staff!$D$4:$D$33,0)),"")&amp;"?subject="&amp;SUBSTITUTE(SUBSTITUTE(SUBSTITUTE(SUBSTITUTE(SUBSTITUTE("Parts quote "&amp;A68&amp;" allocated to you - "&amp;D68,"%","%25"),"&amp;","%26")," ","%20"),"#","%23"),CHAR(10),"%0A")&amp;"&amp;body="&amp;SUBSTITUTE(SUBSTITUTE(SUBSTITUTE(SUBSTITUTE(SUBSTITUTE("Ref: "&amp;A68&amp;CHAR(10)&amp;"Customer: "&amp;D68&amp;"  "&amp;E68&amp;CHAR(10)&amp;"Phone: "&amp;F68&amp;CHAR(10)&amp;"Email: "&amp;G68&amp;CHAR(10)&amp;"Prefers: "&amp;H68&amp;CHAR(10)&amp;"Enquiry: "&amp;LEFT(I68,600)&amp;CHAR(10)&amp;CHAR(10)&amp;"Sent from the Preston Mazda enquiry log.","%","%25"),"&amp;","%26")," ","%20"),"#","%23"),CHAR(10),"%0A"),"✉ Email "&amp;P68))</f>
        <v/>
      </c>
    </row>
    <row r="69" customFormat="false" ht="15" hidden="false" customHeight="false" outlineLevel="0" collapsed="false">
      <c r="A69" s="10" t="str">
        <f aca="false">IF(D69="","","E-"&amp;TEXT(ROW()-3,"0000"))</f>
        <v/>
      </c>
      <c r="B69" s="11"/>
      <c r="C69" s="12"/>
      <c r="D69" s="13"/>
      <c r="E69" s="14"/>
      <c r="F69" s="12"/>
      <c r="G69" s="12"/>
      <c r="H69" s="15"/>
      <c r="I69" s="16"/>
      <c r="J69" s="17" t="str">
        <f aca="false">IF(D69="","",HYPERLINK(Settings!$B$7&amp;A69&amp;".pdf","Open "&amp;A69&amp;".pdf"))</f>
        <v/>
      </c>
      <c r="K69" s="16"/>
      <c r="L69" s="12"/>
      <c r="M69" s="12"/>
      <c r="N69" s="15"/>
      <c r="O69" s="15"/>
      <c r="P69" s="12"/>
      <c r="Q69" s="15"/>
      <c r="R69" s="15"/>
      <c r="S69" s="15" t="str">
        <f aca="false">IF(D69="","",IF(AND(O69="Yes",OR(Q69&lt;&gt;"Yes",R69="Yes")),"Complete","Open"))</f>
        <v/>
      </c>
      <c r="T69" s="18" t="str">
        <f aca="false">IF(AND(Q69="Yes",R69&lt;&gt;"Yes"),HYPERLINK("mailto:"&amp;Settings!$B$5&amp;"?subject="&amp;SUBSTITUTE(SUBSTITUTE(SUBSTITUTE(SUBSTITUTE(SUBSTITUTE("Parts quote required - "&amp;D69&amp;" "&amp;E69,"%","%25"),"&amp;","%26")," ","%20"),"#","%23"),CHAR(10),"%0A")&amp;"&amp;body="&amp;SUBSTITUTE(SUBSTITUTE(SUBSTITUTE(SUBSTITUTE(SUBSTITUTE("Ref: "&amp;A69&amp;CHAR(10)&amp;"Customer: "&amp;D69&amp;"  "&amp;E69&amp;CHAR(10)&amp;"Phone: "&amp;F69&amp;CHAR(10)&amp;"Email: "&amp;G69&amp;CHAR(10)&amp;"Prefers: "&amp;H69&amp;CHAR(10)&amp;"Enquiry: "&amp;LEFT(I69,600)&amp;CHAR(10)&amp;CHAR(10)&amp;"Sent from the Preston Mazda enquiry log.","%","%25"),"&amp;","%26")," ","%20"),"#","%23"),CHAR(10),"%0A"),"✉ Email parts"),"")</f>
        <v/>
      </c>
      <c r="U69" s="18" t="str">
        <f aca="false">IF(AND(N69="Yes",O69&lt;&gt;"Yes"),HYPERLINK("mailto:"&amp;Settings!$B$6&amp;"?subject="&amp;SUBSTITUTE(SUBSTITUTE(SUBSTITUTE(SUBSTITUTE(SUBSTITUTE("Customer contact required - "&amp;D69&amp;" "&amp;E69,"%","%25"),"&amp;","%26")," ","%20"),"#","%23"),CHAR(10),"%0A")&amp;"&amp;body="&amp;SUBSTITUTE(SUBSTITUTE(SUBSTITUTE(SUBSTITUTE(SUBSTITUTE("Ref: "&amp;A69&amp;CHAR(10)&amp;"Customer: "&amp;D69&amp;"  "&amp;E69&amp;CHAR(10)&amp;"Phone: "&amp;F69&amp;CHAR(10)&amp;"Email: "&amp;G69&amp;CHAR(10)&amp;"Prefers: "&amp;H69&amp;CHAR(10)&amp;"Enquiry: "&amp;LEFT(I69,600)&amp;CHAR(10)&amp;CHAR(10)&amp;"Sent from the Preston Mazda enquiry log.","%","%25"),"&amp;","%26")," ","%20"),"#","%23"),CHAR(10),"%0A"),"✉ Email advisors"),"")</f>
        <v/>
      </c>
      <c r="V69" s="18" t="str">
        <f aca="false">IF(OR(M69="",IFERROR(INDEX(Staff!$B$4:$B$33,MATCH(M69,Staff!$A$4:$A$33,0)),"")=""),"",HYPERLINK("mailto:"&amp;IFERROR(INDEX(Staff!$B$4:$B$33,MATCH(M69,Staff!$A$4:$A$33,0)),"")&amp;"?subject="&amp;SUBSTITUTE(SUBSTITUTE(SUBSTITUTE(SUBSTITUTE(SUBSTITUTE("Enquiry "&amp;A69&amp;" allocated to you - "&amp;D69,"%","%25"),"&amp;","%26")," ","%20"),"#","%23"),CHAR(10),"%0A")&amp;"&amp;body="&amp;SUBSTITUTE(SUBSTITUTE(SUBSTITUTE(SUBSTITUTE(SUBSTITUTE("Ref: "&amp;A69&amp;CHAR(10)&amp;"Customer: "&amp;D69&amp;"  "&amp;E69&amp;CHAR(10)&amp;"Phone: "&amp;F69&amp;CHAR(10)&amp;"Email: "&amp;G69&amp;CHAR(10)&amp;"Prefers: "&amp;H69&amp;CHAR(10)&amp;"Enquiry: "&amp;LEFT(I69,600)&amp;CHAR(10)&amp;CHAR(10)&amp;"Sent from the Preston Mazda enquiry log.","%","%25"),"&amp;","%26")," ","%20"),"#","%23"),CHAR(10),"%0A"),"✉ Email "&amp;M69))</f>
        <v/>
      </c>
      <c r="W69" s="18" t="str">
        <f aca="false">IF(OR(P69="",IFERROR(INDEX(Staff!$E$4:$E$33,MATCH(P69,Staff!$D$4:$D$33,0)),"")=""),"",HYPERLINK("mailto:"&amp;IFERROR(INDEX(Staff!$E$4:$E$33,MATCH(P69,Staff!$D$4:$D$33,0)),"")&amp;"?subject="&amp;SUBSTITUTE(SUBSTITUTE(SUBSTITUTE(SUBSTITUTE(SUBSTITUTE("Parts quote "&amp;A69&amp;" allocated to you - "&amp;D69,"%","%25"),"&amp;","%26")," ","%20"),"#","%23"),CHAR(10),"%0A")&amp;"&amp;body="&amp;SUBSTITUTE(SUBSTITUTE(SUBSTITUTE(SUBSTITUTE(SUBSTITUTE("Ref: "&amp;A69&amp;CHAR(10)&amp;"Customer: "&amp;D69&amp;"  "&amp;E69&amp;CHAR(10)&amp;"Phone: "&amp;F69&amp;CHAR(10)&amp;"Email: "&amp;G69&amp;CHAR(10)&amp;"Prefers: "&amp;H69&amp;CHAR(10)&amp;"Enquiry: "&amp;LEFT(I69,600)&amp;CHAR(10)&amp;CHAR(10)&amp;"Sent from the Preston Mazda enquiry log.","%","%25"),"&amp;","%26")," ","%20"),"#","%23"),CHAR(10),"%0A"),"✉ Email "&amp;P69))</f>
        <v/>
      </c>
    </row>
    <row r="70" customFormat="false" ht="15" hidden="false" customHeight="false" outlineLevel="0" collapsed="false">
      <c r="A70" s="10" t="str">
        <f aca="false">IF(D70="","","E-"&amp;TEXT(ROW()-3,"0000"))</f>
        <v/>
      </c>
      <c r="B70" s="11"/>
      <c r="C70" s="12"/>
      <c r="D70" s="13"/>
      <c r="E70" s="14"/>
      <c r="F70" s="12"/>
      <c r="G70" s="12"/>
      <c r="H70" s="15"/>
      <c r="I70" s="16"/>
      <c r="J70" s="17" t="str">
        <f aca="false">IF(D70="","",HYPERLINK(Settings!$B$7&amp;A70&amp;".pdf","Open "&amp;A70&amp;".pdf"))</f>
        <v/>
      </c>
      <c r="K70" s="16"/>
      <c r="L70" s="12"/>
      <c r="M70" s="12"/>
      <c r="N70" s="15"/>
      <c r="O70" s="15"/>
      <c r="P70" s="12"/>
      <c r="Q70" s="15"/>
      <c r="R70" s="15"/>
      <c r="S70" s="15" t="str">
        <f aca="false">IF(D70="","",IF(AND(O70="Yes",OR(Q70&lt;&gt;"Yes",R70="Yes")),"Complete","Open"))</f>
        <v/>
      </c>
      <c r="T70" s="18" t="str">
        <f aca="false">IF(AND(Q70="Yes",R70&lt;&gt;"Yes"),HYPERLINK("mailto:"&amp;Settings!$B$5&amp;"?subject="&amp;SUBSTITUTE(SUBSTITUTE(SUBSTITUTE(SUBSTITUTE(SUBSTITUTE("Parts quote required - "&amp;D70&amp;" "&amp;E70,"%","%25"),"&amp;","%26")," ","%20"),"#","%23"),CHAR(10),"%0A")&amp;"&amp;body="&amp;SUBSTITUTE(SUBSTITUTE(SUBSTITUTE(SUBSTITUTE(SUBSTITUTE("Ref: "&amp;A70&amp;CHAR(10)&amp;"Customer: "&amp;D70&amp;"  "&amp;E70&amp;CHAR(10)&amp;"Phone: "&amp;F70&amp;CHAR(10)&amp;"Email: "&amp;G70&amp;CHAR(10)&amp;"Prefers: "&amp;H70&amp;CHAR(10)&amp;"Enquiry: "&amp;LEFT(I70,600)&amp;CHAR(10)&amp;CHAR(10)&amp;"Sent from the Preston Mazda enquiry log.","%","%25"),"&amp;","%26")," ","%20"),"#","%23"),CHAR(10),"%0A"),"✉ Email parts"),"")</f>
        <v/>
      </c>
      <c r="U70" s="18" t="str">
        <f aca="false">IF(AND(N70="Yes",O70&lt;&gt;"Yes"),HYPERLINK("mailto:"&amp;Settings!$B$6&amp;"?subject="&amp;SUBSTITUTE(SUBSTITUTE(SUBSTITUTE(SUBSTITUTE(SUBSTITUTE("Customer contact required - "&amp;D70&amp;" "&amp;E70,"%","%25"),"&amp;","%26")," ","%20"),"#","%23"),CHAR(10),"%0A")&amp;"&amp;body="&amp;SUBSTITUTE(SUBSTITUTE(SUBSTITUTE(SUBSTITUTE(SUBSTITUTE("Ref: "&amp;A70&amp;CHAR(10)&amp;"Customer: "&amp;D70&amp;"  "&amp;E70&amp;CHAR(10)&amp;"Phone: "&amp;F70&amp;CHAR(10)&amp;"Email: "&amp;G70&amp;CHAR(10)&amp;"Prefers: "&amp;H70&amp;CHAR(10)&amp;"Enquiry: "&amp;LEFT(I70,600)&amp;CHAR(10)&amp;CHAR(10)&amp;"Sent from the Preston Mazda enquiry log.","%","%25"),"&amp;","%26")," ","%20"),"#","%23"),CHAR(10),"%0A"),"✉ Email advisors"),"")</f>
        <v/>
      </c>
      <c r="V70" s="18" t="str">
        <f aca="false">IF(OR(M70="",IFERROR(INDEX(Staff!$B$4:$B$33,MATCH(M70,Staff!$A$4:$A$33,0)),"")=""),"",HYPERLINK("mailto:"&amp;IFERROR(INDEX(Staff!$B$4:$B$33,MATCH(M70,Staff!$A$4:$A$33,0)),"")&amp;"?subject="&amp;SUBSTITUTE(SUBSTITUTE(SUBSTITUTE(SUBSTITUTE(SUBSTITUTE("Enquiry "&amp;A70&amp;" allocated to you - "&amp;D70,"%","%25"),"&amp;","%26")," ","%20"),"#","%23"),CHAR(10),"%0A")&amp;"&amp;body="&amp;SUBSTITUTE(SUBSTITUTE(SUBSTITUTE(SUBSTITUTE(SUBSTITUTE("Ref: "&amp;A70&amp;CHAR(10)&amp;"Customer: "&amp;D70&amp;"  "&amp;E70&amp;CHAR(10)&amp;"Phone: "&amp;F70&amp;CHAR(10)&amp;"Email: "&amp;G70&amp;CHAR(10)&amp;"Prefers: "&amp;H70&amp;CHAR(10)&amp;"Enquiry: "&amp;LEFT(I70,600)&amp;CHAR(10)&amp;CHAR(10)&amp;"Sent from the Preston Mazda enquiry log.","%","%25"),"&amp;","%26")," ","%20"),"#","%23"),CHAR(10),"%0A"),"✉ Email "&amp;M70))</f>
        <v/>
      </c>
      <c r="W70" s="18" t="str">
        <f aca="false">IF(OR(P70="",IFERROR(INDEX(Staff!$E$4:$E$33,MATCH(P70,Staff!$D$4:$D$33,0)),"")=""),"",HYPERLINK("mailto:"&amp;IFERROR(INDEX(Staff!$E$4:$E$33,MATCH(P70,Staff!$D$4:$D$33,0)),"")&amp;"?subject="&amp;SUBSTITUTE(SUBSTITUTE(SUBSTITUTE(SUBSTITUTE(SUBSTITUTE("Parts quote "&amp;A70&amp;" allocated to you - "&amp;D70,"%","%25"),"&amp;","%26")," ","%20"),"#","%23"),CHAR(10),"%0A")&amp;"&amp;body="&amp;SUBSTITUTE(SUBSTITUTE(SUBSTITUTE(SUBSTITUTE(SUBSTITUTE("Ref: "&amp;A70&amp;CHAR(10)&amp;"Customer: "&amp;D70&amp;"  "&amp;E70&amp;CHAR(10)&amp;"Phone: "&amp;F70&amp;CHAR(10)&amp;"Email: "&amp;G70&amp;CHAR(10)&amp;"Prefers: "&amp;H70&amp;CHAR(10)&amp;"Enquiry: "&amp;LEFT(I70,600)&amp;CHAR(10)&amp;CHAR(10)&amp;"Sent from the Preston Mazda enquiry log.","%","%25"),"&amp;","%26")," ","%20"),"#","%23"),CHAR(10),"%0A"),"✉ Email "&amp;P70))</f>
        <v/>
      </c>
    </row>
    <row r="71" customFormat="false" ht="15" hidden="false" customHeight="false" outlineLevel="0" collapsed="false">
      <c r="A71" s="10" t="str">
        <f aca="false">IF(D71="","","E-"&amp;TEXT(ROW()-3,"0000"))</f>
        <v/>
      </c>
      <c r="B71" s="11"/>
      <c r="C71" s="12"/>
      <c r="D71" s="13"/>
      <c r="E71" s="14"/>
      <c r="F71" s="12"/>
      <c r="G71" s="12"/>
      <c r="H71" s="15"/>
      <c r="I71" s="16"/>
      <c r="J71" s="17" t="str">
        <f aca="false">IF(D71="","",HYPERLINK(Settings!$B$7&amp;A71&amp;".pdf","Open "&amp;A71&amp;".pdf"))</f>
        <v/>
      </c>
      <c r="K71" s="16"/>
      <c r="L71" s="12"/>
      <c r="M71" s="12"/>
      <c r="N71" s="15"/>
      <c r="O71" s="15"/>
      <c r="P71" s="12"/>
      <c r="Q71" s="15"/>
      <c r="R71" s="15"/>
      <c r="S71" s="15" t="str">
        <f aca="false">IF(D71="","",IF(AND(O71="Yes",OR(Q71&lt;&gt;"Yes",R71="Yes")),"Complete","Open"))</f>
        <v/>
      </c>
      <c r="T71" s="18" t="str">
        <f aca="false">IF(AND(Q71="Yes",R71&lt;&gt;"Yes"),HYPERLINK("mailto:"&amp;Settings!$B$5&amp;"?subject="&amp;SUBSTITUTE(SUBSTITUTE(SUBSTITUTE(SUBSTITUTE(SUBSTITUTE("Parts quote required - "&amp;D71&amp;" "&amp;E71,"%","%25"),"&amp;","%26")," ","%20"),"#","%23"),CHAR(10),"%0A")&amp;"&amp;body="&amp;SUBSTITUTE(SUBSTITUTE(SUBSTITUTE(SUBSTITUTE(SUBSTITUTE("Ref: "&amp;A71&amp;CHAR(10)&amp;"Customer: "&amp;D71&amp;"  "&amp;E71&amp;CHAR(10)&amp;"Phone: "&amp;F71&amp;CHAR(10)&amp;"Email: "&amp;G71&amp;CHAR(10)&amp;"Prefers: "&amp;H71&amp;CHAR(10)&amp;"Enquiry: "&amp;LEFT(I71,600)&amp;CHAR(10)&amp;CHAR(10)&amp;"Sent from the Preston Mazda enquiry log.","%","%25"),"&amp;","%26")," ","%20"),"#","%23"),CHAR(10),"%0A"),"✉ Email parts"),"")</f>
        <v/>
      </c>
      <c r="U71" s="18" t="str">
        <f aca="false">IF(AND(N71="Yes",O71&lt;&gt;"Yes"),HYPERLINK("mailto:"&amp;Settings!$B$6&amp;"?subject="&amp;SUBSTITUTE(SUBSTITUTE(SUBSTITUTE(SUBSTITUTE(SUBSTITUTE("Customer contact required - "&amp;D71&amp;" "&amp;E71,"%","%25"),"&amp;","%26")," ","%20"),"#","%23"),CHAR(10),"%0A")&amp;"&amp;body="&amp;SUBSTITUTE(SUBSTITUTE(SUBSTITUTE(SUBSTITUTE(SUBSTITUTE("Ref: "&amp;A71&amp;CHAR(10)&amp;"Customer: "&amp;D71&amp;"  "&amp;E71&amp;CHAR(10)&amp;"Phone: "&amp;F71&amp;CHAR(10)&amp;"Email: "&amp;G71&amp;CHAR(10)&amp;"Prefers: "&amp;H71&amp;CHAR(10)&amp;"Enquiry: "&amp;LEFT(I71,600)&amp;CHAR(10)&amp;CHAR(10)&amp;"Sent from the Preston Mazda enquiry log.","%","%25"),"&amp;","%26")," ","%20"),"#","%23"),CHAR(10),"%0A"),"✉ Email advisors"),"")</f>
        <v/>
      </c>
      <c r="V71" s="18" t="str">
        <f aca="false">IF(OR(M71="",IFERROR(INDEX(Staff!$B$4:$B$33,MATCH(M71,Staff!$A$4:$A$33,0)),"")=""),"",HYPERLINK("mailto:"&amp;IFERROR(INDEX(Staff!$B$4:$B$33,MATCH(M71,Staff!$A$4:$A$33,0)),"")&amp;"?subject="&amp;SUBSTITUTE(SUBSTITUTE(SUBSTITUTE(SUBSTITUTE(SUBSTITUTE("Enquiry "&amp;A71&amp;" allocated to you - "&amp;D71,"%","%25"),"&amp;","%26")," ","%20"),"#","%23"),CHAR(10),"%0A")&amp;"&amp;body="&amp;SUBSTITUTE(SUBSTITUTE(SUBSTITUTE(SUBSTITUTE(SUBSTITUTE("Ref: "&amp;A71&amp;CHAR(10)&amp;"Customer: "&amp;D71&amp;"  "&amp;E71&amp;CHAR(10)&amp;"Phone: "&amp;F71&amp;CHAR(10)&amp;"Email: "&amp;G71&amp;CHAR(10)&amp;"Prefers: "&amp;H71&amp;CHAR(10)&amp;"Enquiry: "&amp;LEFT(I71,600)&amp;CHAR(10)&amp;CHAR(10)&amp;"Sent from the Preston Mazda enquiry log.","%","%25"),"&amp;","%26")," ","%20"),"#","%23"),CHAR(10),"%0A"),"✉ Email "&amp;M71))</f>
        <v/>
      </c>
      <c r="W71" s="18" t="str">
        <f aca="false">IF(OR(P71="",IFERROR(INDEX(Staff!$E$4:$E$33,MATCH(P71,Staff!$D$4:$D$33,0)),"")=""),"",HYPERLINK("mailto:"&amp;IFERROR(INDEX(Staff!$E$4:$E$33,MATCH(P71,Staff!$D$4:$D$33,0)),"")&amp;"?subject="&amp;SUBSTITUTE(SUBSTITUTE(SUBSTITUTE(SUBSTITUTE(SUBSTITUTE("Parts quote "&amp;A71&amp;" allocated to you - "&amp;D71,"%","%25"),"&amp;","%26")," ","%20"),"#","%23"),CHAR(10),"%0A")&amp;"&amp;body="&amp;SUBSTITUTE(SUBSTITUTE(SUBSTITUTE(SUBSTITUTE(SUBSTITUTE("Ref: "&amp;A71&amp;CHAR(10)&amp;"Customer: "&amp;D71&amp;"  "&amp;E71&amp;CHAR(10)&amp;"Phone: "&amp;F71&amp;CHAR(10)&amp;"Email: "&amp;G71&amp;CHAR(10)&amp;"Prefers: "&amp;H71&amp;CHAR(10)&amp;"Enquiry: "&amp;LEFT(I71,600)&amp;CHAR(10)&amp;CHAR(10)&amp;"Sent from the Preston Mazda enquiry log.","%","%25"),"&amp;","%26")," ","%20"),"#","%23"),CHAR(10),"%0A"),"✉ Email "&amp;P71))</f>
        <v/>
      </c>
    </row>
    <row r="72" customFormat="false" ht="15" hidden="false" customHeight="false" outlineLevel="0" collapsed="false">
      <c r="A72" s="10" t="str">
        <f aca="false">IF(D72="","","E-"&amp;TEXT(ROW()-3,"0000"))</f>
        <v/>
      </c>
      <c r="B72" s="11"/>
      <c r="C72" s="12"/>
      <c r="D72" s="13"/>
      <c r="E72" s="14"/>
      <c r="F72" s="12"/>
      <c r="G72" s="12"/>
      <c r="H72" s="15"/>
      <c r="I72" s="16"/>
      <c r="J72" s="17" t="str">
        <f aca="false">IF(D72="","",HYPERLINK(Settings!$B$7&amp;A72&amp;".pdf","Open "&amp;A72&amp;".pdf"))</f>
        <v/>
      </c>
      <c r="K72" s="16"/>
      <c r="L72" s="12"/>
      <c r="M72" s="12"/>
      <c r="N72" s="15"/>
      <c r="O72" s="15"/>
      <c r="P72" s="12"/>
      <c r="Q72" s="15"/>
      <c r="R72" s="15"/>
      <c r="S72" s="15" t="str">
        <f aca="false">IF(D72="","",IF(AND(O72="Yes",OR(Q72&lt;&gt;"Yes",R72="Yes")),"Complete","Open"))</f>
        <v/>
      </c>
      <c r="T72" s="18" t="str">
        <f aca="false">IF(AND(Q72="Yes",R72&lt;&gt;"Yes"),HYPERLINK("mailto:"&amp;Settings!$B$5&amp;"?subject="&amp;SUBSTITUTE(SUBSTITUTE(SUBSTITUTE(SUBSTITUTE(SUBSTITUTE("Parts quote required - "&amp;D72&amp;" "&amp;E72,"%","%25"),"&amp;","%26")," ","%20"),"#","%23"),CHAR(10),"%0A")&amp;"&amp;body="&amp;SUBSTITUTE(SUBSTITUTE(SUBSTITUTE(SUBSTITUTE(SUBSTITUTE("Ref: "&amp;A72&amp;CHAR(10)&amp;"Customer: "&amp;D72&amp;"  "&amp;E72&amp;CHAR(10)&amp;"Phone: "&amp;F72&amp;CHAR(10)&amp;"Email: "&amp;G72&amp;CHAR(10)&amp;"Prefers: "&amp;H72&amp;CHAR(10)&amp;"Enquiry: "&amp;LEFT(I72,600)&amp;CHAR(10)&amp;CHAR(10)&amp;"Sent from the Preston Mazda enquiry log.","%","%25"),"&amp;","%26")," ","%20"),"#","%23"),CHAR(10),"%0A"),"✉ Email parts"),"")</f>
        <v/>
      </c>
      <c r="U72" s="18" t="str">
        <f aca="false">IF(AND(N72="Yes",O72&lt;&gt;"Yes"),HYPERLINK("mailto:"&amp;Settings!$B$6&amp;"?subject="&amp;SUBSTITUTE(SUBSTITUTE(SUBSTITUTE(SUBSTITUTE(SUBSTITUTE("Customer contact required - "&amp;D72&amp;" "&amp;E72,"%","%25"),"&amp;","%26")," ","%20"),"#","%23"),CHAR(10),"%0A")&amp;"&amp;body="&amp;SUBSTITUTE(SUBSTITUTE(SUBSTITUTE(SUBSTITUTE(SUBSTITUTE("Ref: "&amp;A72&amp;CHAR(10)&amp;"Customer: "&amp;D72&amp;"  "&amp;E72&amp;CHAR(10)&amp;"Phone: "&amp;F72&amp;CHAR(10)&amp;"Email: "&amp;G72&amp;CHAR(10)&amp;"Prefers: "&amp;H72&amp;CHAR(10)&amp;"Enquiry: "&amp;LEFT(I72,600)&amp;CHAR(10)&amp;CHAR(10)&amp;"Sent from the Preston Mazda enquiry log.","%","%25"),"&amp;","%26")," ","%20"),"#","%23"),CHAR(10),"%0A"),"✉ Email advisors"),"")</f>
        <v/>
      </c>
      <c r="V72" s="18" t="str">
        <f aca="false">IF(OR(M72="",IFERROR(INDEX(Staff!$B$4:$B$33,MATCH(M72,Staff!$A$4:$A$33,0)),"")=""),"",HYPERLINK("mailto:"&amp;IFERROR(INDEX(Staff!$B$4:$B$33,MATCH(M72,Staff!$A$4:$A$33,0)),"")&amp;"?subject="&amp;SUBSTITUTE(SUBSTITUTE(SUBSTITUTE(SUBSTITUTE(SUBSTITUTE("Enquiry "&amp;A72&amp;" allocated to you - "&amp;D72,"%","%25"),"&amp;","%26")," ","%20"),"#","%23"),CHAR(10),"%0A")&amp;"&amp;body="&amp;SUBSTITUTE(SUBSTITUTE(SUBSTITUTE(SUBSTITUTE(SUBSTITUTE("Ref: "&amp;A72&amp;CHAR(10)&amp;"Customer: "&amp;D72&amp;"  "&amp;E72&amp;CHAR(10)&amp;"Phone: "&amp;F72&amp;CHAR(10)&amp;"Email: "&amp;G72&amp;CHAR(10)&amp;"Prefers: "&amp;H72&amp;CHAR(10)&amp;"Enquiry: "&amp;LEFT(I72,600)&amp;CHAR(10)&amp;CHAR(10)&amp;"Sent from the Preston Mazda enquiry log.","%","%25"),"&amp;","%26")," ","%20"),"#","%23"),CHAR(10),"%0A"),"✉ Email "&amp;M72))</f>
        <v/>
      </c>
      <c r="W72" s="18" t="str">
        <f aca="false">IF(OR(P72="",IFERROR(INDEX(Staff!$E$4:$E$33,MATCH(P72,Staff!$D$4:$D$33,0)),"")=""),"",HYPERLINK("mailto:"&amp;IFERROR(INDEX(Staff!$E$4:$E$33,MATCH(P72,Staff!$D$4:$D$33,0)),"")&amp;"?subject="&amp;SUBSTITUTE(SUBSTITUTE(SUBSTITUTE(SUBSTITUTE(SUBSTITUTE("Parts quote "&amp;A72&amp;" allocated to you - "&amp;D72,"%","%25"),"&amp;","%26")," ","%20"),"#","%23"),CHAR(10),"%0A")&amp;"&amp;body="&amp;SUBSTITUTE(SUBSTITUTE(SUBSTITUTE(SUBSTITUTE(SUBSTITUTE("Ref: "&amp;A72&amp;CHAR(10)&amp;"Customer: "&amp;D72&amp;"  "&amp;E72&amp;CHAR(10)&amp;"Phone: "&amp;F72&amp;CHAR(10)&amp;"Email: "&amp;G72&amp;CHAR(10)&amp;"Prefers: "&amp;H72&amp;CHAR(10)&amp;"Enquiry: "&amp;LEFT(I72,600)&amp;CHAR(10)&amp;CHAR(10)&amp;"Sent from the Preston Mazda enquiry log.","%","%25"),"&amp;","%26")," ","%20"),"#","%23"),CHAR(10),"%0A"),"✉ Email "&amp;P72))</f>
        <v/>
      </c>
    </row>
    <row r="73" customFormat="false" ht="15" hidden="false" customHeight="false" outlineLevel="0" collapsed="false">
      <c r="A73" s="10" t="str">
        <f aca="false">IF(D73="","","E-"&amp;TEXT(ROW()-3,"0000"))</f>
        <v/>
      </c>
      <c r="B73" s="11"/>
      <c r="C73" s="12"/>
      <c r="D73" s="13"/>
      <c r="E73" s="14"/>
      <c r="F73" s="12"/>
      <c r="G73" s="12"/>
      <c r="H73" s="15"/>
      <c r="I73" s="16"/>
      <c r="J73" s="17" t="str">
        <f aca="false">IF(D73="","",HYPERLINK(Settings!$B$7&amp;A73&amp;".pdf","Open "&amp;A73&amp;".pdf"))</f>
        <v/>
      </c>
      <c r="K73" s="16"/>
      <c r="L73" s="12"/>
      <c r="M73" s="12"/>
      <c r="N73" s="15"/>
      <c r="O73" s="15"/>
      <c r="P73" s="12"/>
      <c r="Q73" s="15"/>
      <c r="R73" s="15"/>
      <c r="S73" s="15" t="str">
        <f aca="false">IF(D73="","",IF(AND(O73="Yes",OR(Q73&lt;&gt;"Yes",R73="Yes")),"Complete","Open"))</f>
        <v/>
      </c>
      <c r="T73" s="18" t="str">
        <f aca="false">IF(AND(Q73="Yes",R73&lt;&gt;"Yes"),HYPERLINK("mailto:"&amp;Settings!$B$5&amp;"?subject="&amp;SUBSTITUTE(SUBSTITUTE(SUBSTITUTE(SUBSTITUTE(SUBSTITUTE("Parts quote required - "&amp;D73&amp;" "&amp;E73,"%","%25"),"&amp;","%26")," ","%20"),"#","%23"),CHAR(10),"%0A")&amp;"&amp;body="&amp;SUBSTITUTE(SUBSTITUTE(SUBSTITUTE(SUBSTITUTE(SUBSTITUTE("Ref: "&amp;A73&amp;CHAR(10)&amp;"Customer: "&amp;D73&amp;"  "&amp;E73&amp;CHAR(10)&amp;"Phone: "&amp;F73&amp;CHAR(10)&amp;"Email: "&amp;G73&amp;CHAR(10)&amp;"Prefers: "&amp;H73&amp;CHAR(10)&amp;"Enquiry: "&amp;LEFT(I73,600)&amp;CHAR(10)&amp;CHAR(10)&amp;"Sent from the Preston Mazda enquiry log.","%","%25"),"&amp;","%26")," ","%20"),"#","%23"),CHAR(10),"%0A"),"✉ Email parts"),"")</f>
        <v/>
      </c>
      <c r="U73" s="18" t="str">
        <f aca="false">IF(AND(N73="Yes",O73&lt;&gt;"Yes"),HYPERLINK("mailto:"&amp;Settings!$B$6&amp;"?subject="&amp;SUBSTITUTE(SUBSTITUTE(SUBSTITUTE(SUBSTITUTE(SUBSTITUTE("Customer contact required - "&amp;D73&amp;" "&amp;E73,"%","%25"),"&amp;","%26")," ","%20"),"#","%23"),CHAR(10),"%0A")&amp;"&amp;body="&amp;SUBSTITUTE(SUBSTITUTE(SUBSTITUTE(SUBSTITUTE(SUBSTITUTE("Ref: "&amp;A73&amp;CHAR(10)&amp;"Customer: "&amp;D73&amp;"  "&amp;E73&amp;CHAR(10)&amp;"Phone: "&amp;F73&amp;CHAR(10)&amp;"Email: "&amp;G73&amp;CHAR(10)&amp;"Prefers: "&amp;H73&amp;CHAR(10)&amp;"Enquiry: "&amp;LEFT(I73,600)&amp;CHAR(10)&amp;CHAR(10)&amp;"Sent from the Preston Mazda enquiry log.","%","%25"),"&amp;","%26")," ","%20"),"#","%23"),CHAR(10),"%0A"),"✉ Email advisors"),"")</f>
        <v/>
      </c>
      <c r="V73" s="18" t="str">
        <f aca="false">IF(OR(M73="",IFERROR(INDEX(Staff!$B$4:$B$33,MATCH(M73,Staff!$A$4:$A$33,0)),"")=""),"",HYPERLINK("mailto:"&amp;IFERROR(INDEX(Staff!$B$4:$B$33,MATCH(M73,Staff!$A$4:$A$33,0)),"")&amp;"?subject="&amp;SUBSTITUTE(SUBSTITUTE(SUBSTITUTE(SUBSTITUTE(SUBSTITUTE("Enquiry "&amp;A73&amp;" allocated to you - "&amp;D73,"%","%25"),"&amp;","%26")," ","%20"),"#","%23"),CHAR(10),"%0A")&amp;"&amp;body="&amp;SUBSTITUTE(SUBSTITUTE(SUBSTITUTE(SUBSTITUTE(SUBSTITUTE("Ref: "&amp;A73&amp;CHAR(10)&amp;"Customer: "&amp;D73&amp;"  "&amp;E73&amp;CHAR(10)&amp;"Phone: "&amp;F73&amp;CHAR(10)&amp;"Email: "&amp;G73&amp;CHAR(10)&amp;"Prefers: "&amp;H73&amp;CHAR(10)&amp;"Enquiry: "&amp;LEFT(I73,600)&amp;CHAR(10)&amp;CHAR(10)&amp;"Sent from the Preston Mazda enquiry log.","%","%25"),"&amp;","%26")," ","%20"),"#","%23"),CHAR(10),"%0A"),"✉ Email "&amp;M73))</f>
        <v/>
      </c>
      <c r="W73" s="18" t="str">
        <f aca="false">IF(OR(P73="",IFERROR(INDEX(Staff!$E$4:$E$33,MATCH(P73,Staff!$D$4:$D$33,0)),"")=""),"",HYPERLINK("mailto:"&amp;IFERROR(INDEX(Staff!$E$4:$E$33,MATCH(P73,Staff!$D$4:$D$33,0)),"")&amp;"?subject="&amp;SUBSTITUTE(SUBSTITUTE(SUBSTITUTE(SUBSTITUTE(SUBSTITUTE("Parts quote "&amp;A73&amp;" allocated to you - "&amp;D73,"%","%25"),"&amp;","%26")," ","%20"),"#","%23"),CHAR(10),"%0A")&amp;"&amp;body="&amp;SUBSTITUTE(SUBSTITUTE(SUBSTITUTE(SUBSTITUTE(SUBSTITUTE("Ref: "&amp;A73&amp;CHAR(10)&amp;"Customer: "&amp;D73&amp;"  "&amp;E73&amp;CHAR(10)&amp;"Phone: "&amp;F73&amp;CHAR(10)&amp;"Email: "&amp;G73&amp;CHAR(10)&amp;"Prefers: "&amp;H73&amp;CHAR(10)&amp;"Enquiry: "&amp;LEFT(I73,600)&amp;CHAR(10)&amp;CHAR(10)&amp;"Sent from the Preston Mazda enquiry log.","%","%25"),"&amp;","%26")," ","%20"),"#","%23"),CHAR(10),"%0A"),"✉ Email "&amp;P73))</f>
        <v/>
      </c>
    </row>
    <row r="74" customFormat="false" ht="15" hidden="false" customHeight="false" outlineLevel="0" collapsed="false">
      <c r="A74" s="10" t="str">
        <f aca="false">IF(D74="","","E-"&amp;TEXT(ROW()-3,"0000"))</f>
        <v/>
      </c>
      <c r="B74" s="11"/>
      <c r="C74" s="12"/>
      <c r="D74" s="13"/>
      <c r="E74" s="14"/>
      <c r="F74" s="12"/>
      <c r="G74" s="12"/>
      <c r="H74" s="15"/>
      <c r="I74" s="16"/>
      <c r="J74" s="17" t="str">
        <f aca="false">IF(D74="","",HYPERLINK(Settings!$B$7&amp;A74&amp;".pdf","Open "&amp;A74&amp;".pdf"))</f>
        <v/>
      </c>
      <c r="K74" s="16"/>
      <c r="L74" s="12"/>
      <c r="M74" s="12"/>
      <c r="N74" s="15"/>
      <c r="O74" s="15"/>
      <c r="P74" s="12"/>
      <c r="Q74" s="15"/>
      <c r="R74" s="15"/>
      <c r="S74" s="15" t="str">
        <f aca="false">IF(D74="","",IF(AND(O74="Yes",OR(Q74&lt;&gt;"Yes",R74="Yes")),"Complete","Open"))</f>
        <v/>
      </c>
      <c r="T74" s="18" t="str">
        <f aca="false">IF(AND(Q74="Yes",R74&lt;&gt;"Yes"),HYPERLINK("mailto:"&amp;Settings!$B$5&amp;"?subject="&amp;SUBSTITUTE(SUBSTITUTE(SUBSTITUTE(SUBSTITUTE(SUBSTITUTE("Parts quote required - "&amp;D74&amp;" "&amp;E74,"%","%25"),"&amp;","%26")," ","%20"),"#","%23"),CHAR(10),"%0A")&amp;"&amp;body="&amp;SUBSTITUTE(SUBSTITUTE(SUBSTITUTE(SUBSTITUTE(SUBSTITUTE("Ref: "&amp;A74&amp;CHAR(10)&amp;"Customer: "&amp;D74&amp;"  "&amp;E74&amp;CHAR(10)&amp;"Phone: "&amp;F74&amp;CHAR(10)&amp;"Email: "&amp;G74&amp;CHAR(10)&amp;"Prefers: "&amp;H74&amp;CHAR(10)&amp;"Enquiry: "&amp;LEFT(I74,600)&amp;CHAR(10)&amp;CHAR(10)&amp;"Sent from the Preston Mazda enquiry log.","%","%25"),"&amp;","%26")," ","%20"),"#","%23"),CHAR(10),"%0A"),"✉ Email parts"),"")</f>
        <v/>
      </c>
      <c r="U74" s="18" t="str">
        <f aca="false">IF(AND(N74="Yes",O74&lt;&gt;"Yes"),HYPERLINK("mailto:"&amp;Settings!$B$6&amp;"?subject="&amp;SUBSTITUTE(SUBSTITUTE(SUBSTITUTE(SUBSTITUTE(SUBSTITUTE("Customer contact required - "&amp;D74&amp;" "&amp;E74,"%","%25"),"&amp;","%26")," ","%20"),"#","%23"),CHAR(10),"%0A")&amp;"&amp;body="&amp;SUBSTITUTE(SUBSTITUTE(SUBSTITUTE(SUBSTITUTE(SUBSTITUTE("Ref: "&amp;A74&amp;CHAR(10)&amp;"Customer: "&amp;D74&amp;"  "&amp;E74&amp;CHAR(10)&amp;"Phone: "&amp;F74&amp;CHAR(10)&amp;"Email: "&amp;G74&amp;CHAR(10)&amp;"Prefers: "&amp;H74&amp;CHAR(10)&amp;"Enquiry: "&amp;LEFT(I74,600)&amp;CHAR(10)&amp;CHAR(10)&amp;"Sent from the Preston Mazda enquiry log.","%","%25"),"&amp;","%26")," ","%20"),"#","%23"),CHAR(10),"%0A"),"✉ Email advisors"),"")</f>
        <v/>
      </c>
      <c r="V74" s="18" t="str">
        <f aca="false">IF(OR(M74="",IFERROR(INDEX(Staff!$B$4:$B$33,MATCH(M74,Staff!$A$4:$A$33,0)),"")=""),"",HYPERLINK("mailto:"&amp;IFERROR(INDEX(Staff!$B$4:$B$33,MATCH(M74,Staff!$A$4:$A$33,0)),"")&amp;"?subject="&amp;SUBSTITUTE(SUBSTITUTE(SUBSTITUTE(SUBSTITUTE(SUBSTITUTE("Enquiry "&amp;A74&amp;" allocated to you - "&amp;D74,"%","%25"),"&amp;","%26")," ","%20"),"#","%23"),CHAR(10),"%0A")&amp;"&amp;body="&amp;SUBSTITUTE(SUBSTITUTE(SUBSTITUTE(SUBSTITUTE(SUBSTITUTE("Ref: "&amp;A74&amp;CHAR(10)&amp;"Customer: "&amp;D74&amp;"  "&amp;E74&amp;CHAR(10)&amp;"Phone: "&amp;F74&amp;CHAR(10)&amp;"Email: "&amp;G74&amp;CHAR(10)&amp;"Prefers: "&amp;H74&amp;CHAR(10)&amp;"Enquiry: "&amp;LEFT(I74,600)&amp;CHAR(10)&amp;CHAR(10)&amp;"Sent from the Preston Mazda enquiry log.","%","%25"),"&amp;","%26")," ","%20"),"#","%23"),CHAR(10),"%0A"),"✉ Email "&amp;M74))</f>
        <v/>
      </c>
      <c r="W74" s="18" t="str">
        <f aca="false">IF(OR(P74="",IFERROR(INDEX(Staff!$E$4:$E$33,MATCH(P74,Staff!$D$4:$D$33,0)),"")=""),"",HYPERLINK("mailto:"&amp;IFERROR(INDEX(Staff!$E$4:$E$33,MATCH(P74,Staff!$D$4:$D$33,0)),"")&amp;"?subject="&amp;SUBSTITUTE(SUBSTITUTE(SUBSTITUTE(SUBSTITUTE(SUBSTITUTE("Parts quote "&amp;A74&amp;" allocated to you - "&amp;D74,"%","%25"),"&amp;","%26")," ","%20"),"#","%23"),CHAR(10),"%0A")&amp;"&amp;body="&amp;SUBSTITUTE(SUBSTITUTE(SUBSTITUTE(SUBSTITUTE(SUBSTITUTE("Ref: "&amp;A74&amp;CHAR(10)&amp;"Customer: "&amp;D74&amp;"  "&amp;E74&amp;CHAR(10)&amp;"Phone: "&amp;F74&amp;CHAR(10)&amp;"Email: "&amp;G74&amp;CHAR(10)&amp;"Prefers: "&amp;H74&amp;CHAR(10)&amp;"Enquiry: "&amp;LEFT(I74,600)&amp;CHAR(10)&amp;CHAR(10)&amp;"Sent from the Preston Mazda enquiry log.","%","%25"),"&amp;","%26")," ","%20"),"#","%23"),CHAR(10),"%0A"),"✉ Email "&amp;P74))</f>
        <v/>
      </c>
    </row>
    <row r="75" customFormat="false" ht="15" hidden="false" customHeight="false" outlineLevel="0" collapsed="false">
      <c r="A75" s="10" t="str">
        <f aca="false">IF(D75="","","E-"&amp;TEXT(ROW()-3,"0000"))</f>
        <v/>
      </c>
      <c r="B75" s="11"/>
      <c r="C75" s="12"/>
      <c r="D75" s="13"/>
      <c r="E75" s="14"/>
      <c r="F75" s="12"/>
      <c r="G75" s="12"/>
      <c r="H75" s="15"/>
      <c r="I75" s="16"/>
      <c r="J75" s="17" t="str">
        <f aca="false">IF(D75="","",HYPERLINK(Settings!$B$7&amp;A75&amp;".pdf","Open "&amp;A75&amp;".pdf"))</f>
        <v/>
      </c>
      <c r="K75" s="16"/>
      <c r="L75" s="12"/>
      <c r="M75" s="12"/>
      <c r="N75" s="15"/>
      <c r="O75" s="15"/>
      <c r="P75" s="12"/>
      <c r="Q75" s="15"/>
      <c r="R75" s="15"/>
      <c r="S75" s="15" t="str">
        <f aca="false">IF(D75="","",IF(AND(O75="Yes",OR(Q75&lt;&gt;"Yes",R75="Yes")),"Complete","Open"))</f>
        <v/>
      </c>
      <c r="T75" s="18" t="str">
        <f aca="false">IF(AND(Q75="Yes",R75&lt;&gt;"Yes"),HYPERLINK("mailto:"&amp;Settings!$B$5&amp;"?subject="&amp;SUBSTITUTE(SUBSTITUTE(SUBSTITUTE(SUBSTITUTE(SUBSTITUTE("Parts quote required - "&amp;D75&amp;" "&amp;E75,"%","%25"),"&amp;","%26")," ","%20"),"#","%23"),CHAR(10),"%0A")&amp;"&amp;body="&amp;SUBSTITUTE(SUBSTITUTE(SUBSTITUTE(SUBSTITUTE(SUBSTITUTE("Ref: "&amp;A75&amp;CHAR(10)&amp;"Customer: "&amp;D75&amp;"  "&amp;E75&amp;CHAR(10)&amp;"Phone: "&amp;F75&amp;CHAR(10)&amp;"Email: "&amp;G75&amp;CHAR(10)&amp;"Prefers: "&amp;H75&amp;CHAR(10)&amp;"Enquiry: "&amp;LEFT(I75,600)&amp;CHAR(10)&amp;CHAR(10)&amp;"Sent from the Preston Mazda enquiry log.","%","%25"),"&amp;","%26")," ","%20"),"#","%23"),CHAR(10),"%0A"),"✉ Email parts"),"")</f>
        <v/>
      </c>
      <c r="U75" s="18" t="str">
        <f aca="false">IF(AND(N75="Yes",O75&lt;&gt;"Yes"),HYPERLINK("mailto:"&amp;Settings!$B$6&amp;"?subject="&amp;SUBSTITUTE(SUBSTITUTE(SUBSTITUTE(SUBSTITUTE(SUBSTITUTE("Customer contact required - "&amp;D75&amp;" "&amp;E75,"%","%25"),"&amp;","%26")," ","%20"),"#","%23"),CHAR(10),"%0A")&amp;"&amp;body="&amp;SUBSTITUTE(SUBSTITUTE(SUBSTITUTE(SUBSTITUTE(SUBSTITUTE("Ref: "&amp;A75&amp;CHAR(10)&amp;"Customer: "&amp;D75&amp;"  "&amp;E75&amp;CHAR(10)&amp;"Phone: "&amp;F75&amp;CHAR(10)&amp;"Email: "&amp;G75&amp;CHAR(10)&amp;"Prefers: "&amp;H75&amp;CHAR(10)&amp;"Enquiry: "&amp;LEFT(I75,600)&amp;CHAR(10)&amp;CHAR(10)&amp;"Sent from the Preston Mazda enquiry log.","%","%25"),"&amp;","%26")," ","%20"),"#","%23"),CHAR(10),"%0A"),"✉ Email advisors"),"")</f>
        <v/>
      </c>
      <c r="V75" s="18" t="str">
        <f aca="false">IF(OR(M75="",IFERROR(INDEX(Staff!$B$4:$B$33,MATCH(M75,Staff!$A$4:$A$33,0)),"")=""),"",HYPERLINK("mailto:"&amp;IFERROR(INDEX(Staff!$B$4:$B$33,MATCH(M75,Staff!$A$4:$A$33,0)),"")&amp;"?subject="&amp;SUBSTITUTE(SUBSTITUTE(SUBSTITUTE(SUBSTITUTE(SUBSTITUTE("Enquiry "&amp;A75&amp;" allocated to you - "&amp;D75,"%","%25"),"&amp;","%26")," ","%20"),"#","%23"),CHAR(10),"%0A")&amp;"&amp;body="&amp;SUBSTITUTE(SUBSTITUTE(SUBSTITUTE(SUBSTITUTE(SUBSTITUTE("Ref: "&amp;A75&amp;CHAR(10)&amp;"Customer: "&amp;D75&amp;"  "&amp;E75&amp;CHAR(10)&amp;"Phone: "&amp;F75&amp;CHAR(10)&amp;"Email: "&amp;G75&amp;CHAR(10)&amp;"Prefers: "&amp;H75&amp;CHAR(10)&amp;"Enquiry: "&amp;LEFT(I75,600)&amp;CHAR(10)&amp;CHAR(10)&amp;"Sent from the Preston Mazda enquiry log.","%","%25"),"&amp;","%26")," ","%20"),"#","%23"),CHAR(10),"%0A"),"✉ Email "&amp;M75))</f>
        <v/>
      </c>
      <c r="W75" s="18" t="str">
        <f aca="false">IF(OR(P75="",IFERROR(INDEX(Staff!$E$4:$E$33,MATCH(P75,Staff!$D$4:$D$33,0)),"")=""),"",HYPERLINK("mailto:"&amp;IFERROR(INDEX(Staff!$E$4:$E$33,MATCH(P75,Staff!$D$4:$D$33,0)),"")&amp;"?subject="&amp;SUBSTITUTE(SUBSTITUTE(SUBSTITUTE(SUBSTITUTE(SUBSTITUTE("Parts quote "&amp;A75&amp;" allocated to you - "&amp;D75,"%","%25"),"&amp;","%26")," ","%20"),"#","%23"),CHAR(10),"%0A")&amp;"&amp;body="&amp;SUBSTITUTE(SUBSTITUTE(SUBSTITUTE(SUBSTITUTE(SUBSTITUTE("Ref: "&amp;A75&amp;CHAR(10)&amp;"Customer: "&amp;D75&amp;"  "&amp;E75&amp;CHAR(10)&amp;"Phone: "&amp;F75&amp;CHAR(10)&amp;"Email: "&amp;G75&amp;CHAR(10)&amp;"Prefers: "&amp;H75&amp;CHAR(10)&amp;"Enquiry: "&amp;LEFT(I75,600)&amp;CHAR(10)&amp;CHAR(10)&amp;"Sent from the Preston Mazda enquiry log.","%","%25"),"&amp;","%26")," ","%20"),"#","%23"),CHAR(10),"%0A"),"✉ Email "&amp;P75))</f>
        <v/>
      </c>
    </row>
    <row r="76" customFormat="false" ht="15" hidden="false" customHeight="false" outlineLevel="0" collapsed="false">
      <c r="A76" s="10" t="str">
        <f aca="false">IF(D76="","","E-"&amp;TEXT(ROW()-3,"0000"))</f>
        <v/>
      </c>
      <c r="B76" s="11"/>
      <c r="C76" s="12"/>
      <c r="D76" s="13"/>
      <c r="E76" s="14"/>
      <c r="F76" s="12"/>
      <c r="G76" s="12"/>
      <c r="H76" s="15"/>
      <c r="I76" s="16"/>
      <c r="J76" s="17" t="str">
        <f aca="false">IF(D76="","",HYPERLINK(Settings!$B$7&amp;A76&amp;".pdf","Open "&amp;A76&amp;".pdf"))</f>
        <v/>
      </c>
      <c r="K76" s="16"/>
      <c r="L76" s="12"/>
      <c r="M76" s="12"/>
      <c r="N76" s="15"/>
      <c r="O76" s="15"/>
      <c r="P76" s="12"/>
      <c r="Q76" s="15"/>
      <c r="R76" s="15"/>
      <c r="S76" s="15" t="str">
        <f aca="false">IF(D76="","",IF(AND(O76="Yes",OR(Q76&lt;&gt;"Yes",R76="Yes")),"Complete","Open"))</f>
        <v/>
      </c>
      <c r="T76" s="18" t="str">
        <f aca="false">IF(AND(Q76="Yes",R76&lt;&gt;"Yes"),HYPERLINK("mailto:"&amp;Settings!$B$5&amp;"?subject="&amp;SUBSTITUTE(SUBSTITUTE(SUBSTITUTE(SUBSTITUTE(SUBSTITUTE("Parts quote required - "&amp;D76&amp;" "&amp;E76,"%","%25"),"&amp;","%26")," ","%20"),"#","%23"),CHAR(10),"%0A")&amp;"&amp;body="&amp;SUBSTITUTE(SUBSTITUTE(SUBSTITUTE(SUBSTITUTE(SUBSTITUTE("Ref: "&amp;A76&amp;CHAR(10)&amp;"Customer: "&amp;D76&amp;"  "&amp;E76&amp;CHAR(10)&amp;"Phone: "&amp;F76&amp;CHAR(10)&amp;"Email: "&amp;G76&amp;CHAR(10)&amp;"Prefers: "&amp;H76&amp;CHAR(10)&amp;"Enquiry: "&amp;LEFT(I76,600)&amp;CHAR(10)&amp;CHAR(10)&amp;"Sent from the Preston Mazda enquiry log.","%","%25"),"&amp;","%26")," ","%20"),"#","%23"),CHAR(10),"%0A"),"✉ Email parts"),"")</f>
        <v/>
      </c>
      <c r="U76" s="18" t="str">
        <f aca="false">IF(AND(N76="Yes",O76&lt;&gt;"Yes"),HYPERLINK("mailto:"&amp;Settings!$B$6&amp;"?subject="&amp;SUBSTITUTE(SUBSTITUTE(SUBSTITUTE(SUBSTITUTE(SUBSTITUTE("Customer contact required - "&amp;D76&amp;" "&amp;E76,"%","%25"),"&amp;","%26")," ","%20"),"#","%23"),CHAR(10),"%0A")&amp;"&amp;body="&amp;SUBSTITUTE(SUBSTITUTE(SUBSTITUTE(SUBSTITUTE(SUBSTITUTE("Ref: "&amp;A76&amp;CHAR(10)&amp;"Customer: "&amp;D76&amp;"  "&amp;E76&amp;CHAR(10)&amp;"Phone: "&amp;F76&amp;CHAR(10)&amp;"Email: "&amp;G76&amp;CHAR(10)&amp;"Prefers: "&amp;H76&amp;CHAR(10)&amp;"Enquiry: "&amp;LEFT(I76,600)&amp;CHAR(10)&amp;CHAR(10)&amp;"Sent from the Preston Mazda enquiry log.","%","%25"),"&amp;","%26")," ","%20"),"#","%23"),CHAR(10),"%0A"),"✉ Email advisors"),"")</f>
        <v/>
      </c>
      <c r="V76" s="18" t="str">
        <f aca="false">IF(OR(M76="",IFERROR(INDEX(Staff!$B$4:$B$33,MATCH(M76,Staff!$A$4:$A$33,0)),"")=""),"",HYPERLINK("mailto:"&amp;IFERROR(INDEX(Staff!$B$4:$B$33,MATCH(M76,Staff!$A$4:$A$33,0)),"")&amp;"?subject="&amp;SUBSTITUTE(SUBSTITUTE(SUBSTITUTE(SUBSTITUTE(SUBSTITUTE("Enquiry "&amp;A76&amp;" allocated to you - "&amp;D76,"%","%25"),"&amp;","%26")," ","%20"),"#","%23"),CHAR(10),"%0A")&amp;"&amp;body="&amp;SUBSTITUTE(SUBSTITUTE(SUBSTITUTE(SUBSTITUTE(SUBSTITUTE("Ref: "&amp;A76&amp;CHAR(10)&amp;"Customer: "&amp;D76&amp;"  "&amp;E76&amp;CHAR(10)&amp;"Phone: "&amp;F76&amp;CHAR(10)&amp;"Email: "&amp;G76&amp;CHAR(10)&amp;"Prefers: "&amp;H76&amp;CHAR(10)&amp;"Enquiry: "&amp;LEFT(I76,600)&amp;CHAR(10)&amp;CHAR(10)&amp;"Sent from the Preston Mazda enquiry log.","%","%25"),"&amp;","%26")," ","%20"),"#","%23"),CHAR(10),"%0A"),"✉ Email "&amp;M76))</f>
        <v/>
      </c>
      <c r="W76" s="18" t="str">
        <f aca="false">IF(OR(P76="",IFERROR(INDEX(Staff!$E$4:$E$33,MATCH(P76,Staff!$D$4:$D$33,0)),"")=""),"",HYPERLINK("mailto:"&amp;IFERROR(INDEX(Staff!$E$4:$E$33,MATCH(P76,Staff!$D$4:$D$33,0)),"")&amp;"?subject="&amp;SUBSTITUTE(SUBSTITUTE(SUBSTITUTE(SUBSTITUTE(SUBSTITUTE("Parts quote "&amp;A76&amp;" allocated to you - "&amp;D76,"%","%25"),"&amp;","%26")," ","%20"),"#","%23"),CHAR(10),"%0A")&amp;"&amp;body="&amp;SUBSTITUTE(SUBSTITUTE(SUBSTITUTE(SUBSTITUTE(SUBSTITUTE("Ref: "&amp;A76&amp;CHAR(10)&amp;"Customer: "&amp;D76&amp;"  "&amp;E76&amp;CHAR(10)&amp;"Phone: "&amp;F76&amp;CHAR(10)&amp;"Email: "&amp;G76&amp;CHAR(10)&amp;"Prefers: "&amp;H76&amp;CHAR(10)&amp;"Enquiry: "&amp;LEFT(I76,600)&amp;CHAR(10)&amp;CHAR(10)&amp;"Sent from the Preston Mazda enquiry log.","%","%25"),"&amp;","%26")," ","%20"),"#","%23"),CHAR(10),"%0A"),"✉ Email "&amp;P76))</f>
        <v/>
      </c>
    </row>
    <row r="77" customFormat="false" ht="15" hidden="false" customHeight="false" outlineLevel="0" collapsed="false">
      <c r="A77" s="10" t="str">
        <f aca="false">IF(D77="","","E-"&amp;TEXT(ROW()-3,"0000"))</f>
        <v/>
      </c>
      <c r="B77" s="11"/>
      <c r="C77" s="12"/>
      <c r="D77" s="13"/>
      <c r="E77" s="14"/>
      <c r="F77" s="12"/>
      <c r="G77" s="12"/>
      <c r="H77" s="15"/>
      <c r="I77" s="16"/>
      <c r="J77" s="17" t="str">
        <f aca="false">IF(D77="","",HYPERLINK(Settings!$B$7&amp;A77&amp;".pdf","Open "&amp;A77&amp;".pdf"))</f>
        <v/>
      </c>
      <c r="K77" s="16"/>
      <c r="L77" s="12"/>
      <c r="M77" s="12"/>
      <c r="N77" s="15"/>
      <c r="O77" s="15"/>
      <c r="P77" s="12"/>
      <c r="Q77" s="15"/>
      <c r="R77" s="15"/>
      <c r="S77" s="15" t="str">
        <f aca="false">IF(D77="","",IF(AND(O77="Yes",OR(Q77&lt;&gt;"Yes",R77="Yes")),"Complete","Open"))</f>
        <v/>
      </c>
      <c r="T77" s="18" t="str">
        <f aca="false">IF(AND(Q77="Yes",R77&lt;&gt;"Yes"),HYPERLINK("mailto:"&amp;Settings!$B$5&amp;"?subject="&amp;SUBSTITUTE(SUBSTITUTE(SUBSTITUTE(SUBSTITUTE(SUBSTITUTE("Parts quote required - "&amp;D77&amp;" "&amp;E77,"%","%25"),"&amp;","%26")," ","%20"),"#","%23"),CHAR(10),"%0A")&amp;"&amp;body="&amp;SUBSTITUTE(SUBSTITUTE(SUBSTITUTE(SUBSTITUTE(SUBSTITUTE("Ref: "&amp;A77&amp;CHAR(10)&amp;"Customer: "&amp;D77&amp;"  "&amp;E77&amp;CHAR(10)&amp;"Phone: "&amp;F77&amp;CHAR(10)&amp;"Email: "&amp;G77&amp;CHAR(10)&amp;"Prefers: "&amp;H77&amp;CHAR(10)&amp;"Enquiry: "&amp;LEFT(I77,600)&amp;CHAR(10)&amp;CHAR(10)&amp;"Sent from the Preston Mazda enquiry log.","%","%25"),"&amp;","%26")," ","%20"),"#","%23"),CHAR(10),"%0A"),"✉ Email parts"),"")</f>
        <v/>
      </c>
      <c r="U77" s="18" t="str">
        <f aca="false">IF(AND(N77="Yes",O77&lt;&gt;"Yes"),HYPERLINK("mailto:"&amp;Settings!$B$6&amp;"?subject="&amp;SUBSTITUTE(SUBSTITUTE(SUBSTITUTE(SUBSTITUTE(SUBSTITUTE("Customer contact required - "&amp;D77&amp;" "&amp;E77,"%","%25"),"&amp;","%26")," ","%20"),"#","%23"),CHAR(10),"%0A")&amp;"&amp;body="&amp;SUBSTITUTE(SUBSTITUTE(SUBSTITUTE(SUBSTITUTE(SUBSTITUTE("Ref: "&amp;A77&amp;CHAR(10)&amp;"Customer: "&amp;D77&amp;"  "&amp;E77&amp;CHAR(10)&amp;"Phone: "&amp;F77&amp;CHAR(10)&amp;"Email: "&amp;G77&amp;CHAR(10)&amp;"Prefers: "&amp;H77&amp;CHAR(10)&amp;"Enquiry: "&amp;LEFT(I77,600)&amp;CHAR(10)&amp;CHAR(10)&amp;"Sent from the Preston Mazda enquiry log.","%","%25"),"&amp;","%26")," ","%20"),"#","%23"),CHAR(10),"%0A"),"✉ Email advisors"),"")</f>
        <v/>
      </c>
      <c r="V77" s="18" t="str">
        <f aca="false">IF(OR(M77="",IFERROR(INDEX(Staff!$B$4:$B$33,MATCH(M77,Staff!$A$4:$A$33,0)),"")=""),"",HYPERLINK("mailto:"&amp;IFERROR(INDEX(Staff!$B$4:$B$33,MATCH(M77,Staff!$A$4:$A$33,0)),"")&amp;"?subject="&amp;SUBSTITUTE(SUBSTITUTE(SUBSTITUTE(SUBSTITUTE(SUBSTITUTE("Enquiry "&amp;A77&amp;" allocated to you - "&amp;D77,"%","%25"),"&amp;","%26")," ","%20"),"#","%23"),CHAR(10),"%0A")&amp;"&amp;body="&amp;SUBSTITUTE(SUBSTITUTE(SUBSTITUTE(SUBSTITUTE(SUBSTITUTE("Ref: "&amp;A77&amp;CHAR(10)&amp;"Customer: "&amp;D77&amp;"  "&amp;E77&amp;CHAR(10)&amp;"Phone: "&amp;F77&amp;CHAR(10)&amp;"Email: "&amp;G77&amp;CHAR(10)&amp;"Prefers: "&amp;H77&amp;CHAR(10)&amp;"Enquiry: "&amp;LEFT(I77,600)&amp;CHAR(10)&amp;CHAR(10)&amp;"Sent from the Preston Mazda enquiry log.","%","%25"),"&amp;","%26")," ","%20"),"#","%23"),CHAR(10),"%0A"),"✉ Email "&amp;M77))</f>
        <v/>
      </c>
      <c r="W77" s="18" t="str">
        <f aca="false">IF(OR(P77="",IFERROR(INDEX(Staff!$E$4:$E$33,MATCH(P77,Staff!$D$4:$D$33,0)),"")=""),"",HYPERLINK("mailto:"&amp;IFERROR(INDEX(Staff!$E$4:$E$33,MATCH(P77,Staff!$D$4:$D$33,0)),"")&amp;"?subject="&amp;SUBSTITUTE(SUBSTITUTE(SUBSTITUTE(SUBSTITUTE(SUBSTITUTE("Parts quote "&amp;A77&amp;" allocated to you - "&amp;D77,"%","%25"),"&amp;","%26")," ","%20"),"#","%23"),CHAR(10),"%0A")&amp;"&amp;body="&amp;SUBSTITUTE(SUBSTITUTE(SUBSTITUTE(SUBSTITUTE(SUBSTITUTE("Ref: "&amp;A77&amp;CHAR(10)&amp;"Customer: "&amp;D77&amp;"  "&amp;E77&amp;CHAR(10)&amp;"Phone: "&amp;F77&amp;CHAR(10)&amp;"Email: "&amp;G77&amp;CHAR(10)&amp;"Prefers: "&amp;H77&amp;CHAR(10)&amp;"Enquiry: "&amp;LEFT(I77,600)&amp;CHAR(10)&amp;CHAR(10)&amp;"Sent from the Preston Mazda enquiry log.","%","%25"),"&amp;","%26")," ","%20"),"#","%23"),CHAR(10),"%0A"),"✉ Email "&amp;P77))</f>
        <v/>
      </c>
    </row>
    <row r="78" customFormat="false" ht="15" hidden="false" customHeight="false" outlineLevel="0" collapsed="false">
      <c r="A78" s="10" t="str">
        <f aca="false">IF(D78="","","E-"&amp;TEXT(ROW()-3,"0000"))</f>
        <v/>
      </c>
      <c r="B78" s="11"/>
      <c r="C78" s="12"/>
      <c r="D78" s="13"/>
      <c r="E78" s="14"/>
      <c r="F78" s="12"/>
      <c r="G78" s="12"/>
      <c r="H78" s="15"/>
      <c r="I78" s="16"/>
      <c r="J78" s="17" t="str">
        <f aca="false">IF(D78="","",HYPERLINK(Settings!$B$7&amp;A78&amp;".pdf","Open "&amp;A78&amp;".pdf"))</f>
        <v/>
      </c>
      <c r="K78" s="16"/>
      <c r="L78" s="12"/>
      <c r="M78" s="12"/>
      <c r="N78" s="15"/>
      <c r="O78" s="15"/>
      <c r="P78" s="12"/>
      <c r="Q78" s="15"/>
      <c r="R78" s="15"/>
      <c r="S78" s="15" t="str">
        <f aca="false">IF(D78="","",IF(AND(O78="Yes",OR(Q78&lt;&gt;"Yes",R78="Yes")),"Complete","Open"))</f>
        <v/>
      </c>
      <c r="T78" s="18" t="str">
        <f aca="false">IF(AND(Q78="Yes",R78&lt;&gt;"Yes"),HYPERLINK("mailto:"&amp;Settings!$B$5&amp;"?subject="&amp;SUBSTITUTE(SUBSTITUTE(SUBSTITUTE(SUBSTITUTE(SUBSTITUTE("Parts quote required - "&amp;D78&amp;" "&amp;E78,"%","%25"),"&amp;","%26")," ","%20"),"#","%23"),CHAR(10),"%0A")&amp;"&amp;body="&amp;SUBSTITUTE(SUBSTITUTE(SUBSTITUTE(SUBSTITUTE(SUBSTITUTE("Ref: "&amp;A78&amp;CHAR(10)&amp;"Customer: "&amp;D78&amp;"  "&amp;E78&amp;CHAR(10)&amp;"Phone: "&amp;F78&amp;CHAR(10)&amp;"Email: "&amp;G78&amp;CHAR(10)&amp;"Prefers: "&amp;H78&amp;CHAR(10)&amp;"Enquiry: "&amp;LEFT(I78,600)&amp;CHAR(10)&amp;CHAR(10)&amp;"Sent from the Preston Mazda enquiry log.","%","%25"),"&amp;","%26")," ","%20"),"#","%23"),CHAR(10),"%0A"),"✉ Email parts"),"")</f>
        <v/>
      </c>
      <c r="U78" s="18" t="str">
        <f aca="false">IF(AND(N78="Yes",O78&lt;&gt;"Yes"),HYPERLINK("mailto:"&amp;Settings!$B$6&amp;"?subject="&amp;SUBSTITUTE(SUBSTITUTE(SUBSTITUTE(SUBSTITUTE(SUBSTITUTE("Customer contact required - "&amp;D78&amp;" "&amp;E78,"%","%25"),"&amp;","%26")," ","%20"),"#","%23"),CHAR(10),"%0A")&amp;"&amp;body="&amp;SUBSTITUTE(SUBSTITUTE(SUBSTITUTE(SUBSTITUTE(SUBSTITUTE("Ref: "&amp;A78&amp;CHAR(10)&amp;"Customer: "&amp;D78&amp;"  "&amp;E78&amp;CHAR(10)&amp;"Phone: "&amp;F78&amp;CHAR(10)&amp;"Email: "&amp;G78&amp;CHAR(10)&amp;"Prefers: "&amp;H78&amp;CHAR(10)&amp;"Enquiry: "&amp;LEFT(I78,600)&amp;CHAR(10)&amp;CHAR(10)&amp;"Sent from the Preston Mazda enquiry log.","%","%25"),"&amp;","%26")," ","%20"),"#","%23"),CHAR(10),"%0A"),"✉ Email advisors"),"")</f>
        <v/>
      </c>
      <c r="V78" s="18" t="str">
        <f aca="false">IF(OR(M78="",IFERROR(INDEX(Staff!$B$4:$B$33,MATCH(M78,Staff!$A$4:$A$33,0)),"")=""),"",HYPERLINK("mailto:"&amp;IFERROR(INDEX(Staff!$B$4:$B$33,MATCH(M78,Staff!$A$4:$A$33,0)),"")&amp;"?subject="&amp;SUBSTITUTE(SUBSTITUTE(SUBSTITUTE(SUBSTITUTE(SUBSTITUTE("Enquiry "&amp;A78&amp;" allocated to you - "&amp;D78,"%","%25"),"&amp;","%26")," ","%20"),"#","%23"),CHAR(10),"%0A")&amp;"&amp;body="&amp;SUBSTITUTE(SUBSTITUTE(SUBSTITUTE(SUBSTITUTE(SUBSTITUTE("Ref: "&amp;A78&amp;CHAR(10)&amp;"Customer: "&amp;D78&amp;"  "&amp;E78&amp;CHAR(10)&amp;"Phone: "&amp;F78&amp;CHAR(10)&amp;"Email: "&amp;G78&amp;CHAR(10)&amp;"Prefers: "&amp;H78&amp;CHAR(10)&amp;"Enquiry: "&amp;LEFT(I78,600)&amp;CHAR(10)&amp;CHAR(10)&amp;"Sent from the Preston Mazda enquiry log.","%","%25"),"&amp;","%26")," ","%20"),"#","%23"),CHAR(10),"%0A"),"✉ Email "&amp;M78))</f>
        <v/>
      </c>
      <c r="W78" s="18" t="str">
        <f aca="false">IF(OR(P78="",IFERROR(INDEX(Staff!$E$4:$E$33,MATCH(P78,Staff!$D$4:$D$33,0)),"")=""),"",HYPERLINK("mailto:"&amp;IFERROR(INDEX(Staff!$E$4:$E$33,MATCH(P78,Staff!$D$4:$D$33,0)),"")&amp;"?subject="&amp;SUBSTITUTE(SUBSTITUTE(SUBSTITUTE(SUBSTITUTE(SUBSTITUTE("Parts quote "&amp;A78&amp;" allocated to you - "&amp;D78,"%","%25"),"&amp;","%26")," ","%20"),"#","%23"),CHAR(10),"%0A")&amp;"&amp;body="&amp;SUBSTITUTE(SUBSTITUTE(SUBSTITUTE(SUBSTITUTE(SUBSTITUTE("Ref: "&amp;A78&amp;CHAR(10)&amp;"Customer: "&amp;D78&amp;"  "&amp;E78&amp;CHAR(10)&amp;"Phone: "&amp;F78&amp;CHAR(10)&amp;"Email: "&amp;G78&amp;CHAR(10)&amp;"Prefers: "&amp;H78&amp;CHAR(10)&amp;"Enquiry: "&amp;LEFT(I78,600)&amp;CHAR(10)&amp;CHAR(10)&amp;"Sent from the Preston Mazda enquiry log.","%","%25"),"&amp;","%26")," ","%20"),"#","%23"),CHAR(10),"%0A"),"✉ Email "&amp;P78))</f>
        <v/>
      </c>
    </row>
    <row r="79" customFormat="false" ht="15" hidden="false" customHeight="false" outlineLevel="0" collapsed="false">
      <c r="A79" s="10" t="str">
        <f aca="false">IF(D79="","","E-"&amp;TEXT(ROW()-3,"0000"))</f>
        <v/>
      </c>
      <c r="B79" s="11"/>
      <c r="C79" s="12"/>
      <c r="D79" s="13"/>
      <c r="E79" s="14"/>
      <c r="F79" s="12"/>
      <c r="G79" s="12"/>
      <c r="H79" s="15"/>
      <c r="I79" s="16"/>
      <c r="J79" s="17" t="str">
        <f aca="false">IF(D79="","",HYPERLINK(Settings!$B$7&amp;A79&amp;".pdf","Open "&amp;A79&amp;".pdf"))</f>
        <v/>
      </c>
      <c r="K79" s="16"/>
      <c r="L79" s="12"/>
      <c r="M79" s="12"/>
      <c r="N79" s="15"/>
      <c r="O79" s="15"/>
      <c r="P79" s="12"/>
      <c r="Q79" s="15"/>
      <c r="R79" s="15"/>
      <c r="S79" s="15" t="str">
        <f aca="false">IF(D79="","",IF(AND(O79="Yes",OR(Q79&lt;&gt;"Yes",R79="Yes")),"Complete","Open"))</f>
        <v/>
      </c>
      <c r="T79" s="18" t="str">
        <f aca="false">IF(AND(Q79="Yes",R79&lt;&gt;"Yes"),HYPERLINK("mailto:"&amp;Settings!$B$5&amp;"?subject="&amp;SUBSTITUTE(SUBSTITUTE(SUBSTITUTE(SUBSTITUTE(SUBSTITUTE("Parts quote required - "&amp;D79&amp;" "&amp;E79,"%","%25"),"&amp;","%26")," ","%20"),"#","%23"),CHAR(10),"%0A")&amp;"&amp;body="&amp;SUBSTITUTE(SUBSTITUTE(SUBSTITUTE(SUBSTITUTE(SUBSTITUTE("Ref: "&amp;A79&amp;CHAR(10)&amp;"Customer: "&amp;D79&amp;"  "&amp;E79&amp;CHAR(10)&amp;"Phone: "&amp;F79&amp;CHAR(10)&amp;"Email: "&amp;G79&amp;CHAR(10)&amp;"Prefers: "&amp;H79&amp;CHAR(10)&amp;"Enquiry: "&amp;LEFT(I79,600)&amp;CHAR(10)&amp;CHAR(10)&amp;"Sent from the Preston Mazda enquiry log.","%","%25"),"&amp;","%26")," ","%20"),"#","%23"),CHAR(10),"%0A"),"✉ Email parts"),"")</f>
        <v/>
      </c>
      <c r="U79" s="18" t="str">
        <f aca="false">IF(AND(N79="Yes",O79&lt;&gt;"Yes"),HYPERLINK("mailto:"&amp;Settings!$B$6&amp;"?subject="&amp;SUBSTITUTE(SUBSTITUTE(SUBSTITUTE(SUBSTITUTE(SUBSTITUTE("Customer contact required - "&amp;D79&amp;" "&amp;E79,"%","%25"),"&amp;","%26")," ","%20"),"#","%23"),CHAR(10),"%0A")&amp;"&amp;body="&amp;SUBSTITUTE(SUBSTITUTE(SUBSTITUTE(SUBSTITUTE(SUBSTITUTE("Ref: "&amp;A79&amp;CHAR(10)&amp;"Customer: "&amp;D79&amp;"  "&amp;E79&amp;CHAR(10)&amp;"Phone: "&amp;F79&amp;CHAR(10)&amp;"Email: "&amp;G79&amp;CHAR(10)&amp;"Prefers: "&amp;H79&amp;CHAR(10)&amp;"Enquiry: "&amp;LEFT(I79,600)&amp;CHAR(10)&amp;CHAR(10)&amp;"Sent from the Preston Mazda enquiry log.","%","%25"),"&amp;","%26")," ","%20"),"#","%23"),CHAR(10),"%0A"),"✉ Email advisors"),"")</f>
        <v/>
      </c>
      <c r="V79" s="18" t="str">
        <f aca="false">IF(OR(M79="",IFERROR(INDEX(Staff!$B$4:$B$33,MATCH(M79,Staff!$A$4:$A$33,0)),"")=""),"",HYPERLINK("mailto:"&amp;IFERROR(INDEX(Staff!$B$4:$B$33,MATCH(M79,Staff!$A$4:$A$33,0)),"")&amp;"?subject="&amp;SUBSTITUTE(SUBSTITUTE(SUBSTITUTE(SUBSTITUTE(SUBSTITUTE("Enquiry "&amp;A79&amp;" allocated to you - "&amp;D79,"%","%25"),"&amp;","%26")," ","%20"),"#","%23"),CHAR(10),"%0A")&amp;"&amp;body="&amp;SUBSTITUTE(SUBSTITUTE(SUBSTITUTE(SUBSTITUTE(SUBSTITUTE("Ref: "&amp;A79&amp;CHAR(10)&amp;"Customer: "&amp;D79&amp;"  "&amp;E79&amp;CHAR(10)&amp;"Phone: "&amp;F79&amp;CHAR(10)&amp;"Email: "&amp;G79&amp;CHAR(10)&amp;"Prefers: "&amp;H79&amp;CHAR(10)&amp;"Enquiry: "&amp;LEFT(I79,600)&amp;CHAR(10)&amp;CHAR(10)&amp;"Sent from the Preston Mazda enquiry log.","%","%25"),"&amp;","%26")," ","%20"),"#","%23"),CHAR(10),"%0A"),"✉ Email "&amp;M79))</f>
        <v/>
      </c>
      <c r="W79" s="18" t="str">
        <f aca="false">IF(OR(P79="",IFERROR(INDEX(Staff!$E$4:$E$33,MATCH(P79,Staff!$D$4:$D$33,0)),"")=""),"",HYPERLINK("mailto:"&amp;IFERROR(INDEX(Staff!$E$4:$E$33,MATCH(P79,Staff!$D$4:$D$33,0)),"")&amp;"?subject="&amp;SUBSTITUTE(SUBSTITUTE(SUBSTITUTE(SUBSTITUTE(SUBSTITUTE("Parts quote "&amp;A79&amp;" allocated to you - "&amp;D79,"%","%25"),"&amp;","%26")," ","%20"),"#","%23"),CHAR(10),"%0A")&amp;"&amp;body="&amp;SUBSTITUTE(SUBSTITUTE(SUBSTITUTE(SUBSTITUTE(SUBSTITUTE("Ref: "&amp;A79&amp;CHAR(10)&amp;"Customer: "&amp;D79&amp;"  "&amp;E79&amp;CHAR(10)&amp;"Phone: "&amp;F79&amp;CHAR(10)&amp;"Email: "&amp;G79&amp;CHAR(10)&amp;"Prefers: "&amp;H79&amp;CHAR(10)&amp;"Enquiry: "&amp;LEFT(I79,600)&amp;CHAR(10)&amp;CHAR(10)&amp;"Sent from the Preston Mazda enquiry log.","%","%25"),"&amp;","%26")," ","%20"),"#","%23"),CHAR(10),"%0A"),"✉ Email "&amp;P79))</f>
        <v/>
      </c>
    </row>
    <row r="80" customFormat="false" ht="15" hidden="false" customHeight="false" outlineLevel="0" collapsed="false">
      <c r="A80" s="10" t="str">
        <f aca="false">IF(D80="","","E-"&amp;TEXT(ROW()-3,"0000"))</f>
        <v/>
      </c>
      <c r="B80" s="11"/>
      <c r="C80" s="12"/>
      <c r="D80" s="13"/>
      <c r="E80" s="14"/>
      <c r="F80" s="12"/>
      <c r="G80" s="12"/>
      <c r="H80" s="15"/>
      <c r="I80" s="16"/>
      <c r="J80" s="17" t="str">
        <f aca="false">IF(D80="","",HYPERLINK(Settings!$B$7&amp;A80&amp;".pdf","Open "&amp;A80&amp;".pdf"))</f>
        <v/>
      </c>
      <c r="K80" s="16"/>
      <c r="L80" s="12"/>
      <c r="M80" s="12"/>
      <c r="N80" s="15"/>
      <c r="O80" s="15"/>
      <c r="P80" s="12"/>
      <c r="Q80" s="15"/>
      <c r="R80" s="15"/>
      <c r="S80" s="15" t="str">
        <f aca="false">IF(D80="","",IF(AND(O80="Yes",OR(Q80&lt;&gt;"Yes",R80="Yes")),"Complete","Open"))</f>
        <v/>
      </c>
      <c r="T80" s="18" t="str">
        <f aca="false">IF(AND(Q80="Yes",R80&lt;&gt;"Yes"),HYPERLINK("mailto:"&amp;Settings!$B$5&amp;"?subject="&amp;SUBSTITUTE(SUBSTITUTE(SUBSTITUTE(SUBSTITUTE(SUBSTITUTE("Parts quote required - "&amp;D80&amp;" "&amp;E80,"%","%25"),"&amp;","%26")," ","%20"),"#","%23"),CHAR(10),"%0A")&amp;"&amp;body="&amp;SUBSTITUTE(SUBSTITUTE(SUBSTITUTE(SUBSTITUTE(SUBSTITUTE("Ref: "&amp;A80&amp;CHAR(10)&amp;"Customer: "&amp;D80&amp;"  "&amp;E80&amp;CHAR(10)&amp;"Phone: "&amp;F80&amp;CHAR(10)&amp;"Email: "&amp;G80&amp;CHAR(10)&amp;"Prefers: "&amp;H80&amp;CHAR(10)&amp;"Enquiry: "&amp;LEFT(I80,600)&amp;CHAR(10)&amp;CHAR(10)&amp;"Sent from the Preston Mazda enquiry log.","%","%25"),"&amp;","%26")," ","%20"),"#","%23"),CHAR(10),"%0A"),"✉ Email parts"),"")</f>
        <v/>
      </c>
      <c r="U80" s="18" t="str">
        <f aca="false">IF(AND(N80="Yes",O80&lt;&gt;"Yes"),HYPERLINK("mailto:"&amp;Settings!$B$6&amp;"?subject="&amp;SUBSTITUTE(SUBSTITUTE(SUBSTITUTE(SUBSTITUTE(SUBSTITUTE("Customer contact required - "&amp;D80&amp;" "&amp;E80,"%","%25"),"&amp;","%26")," ","%20"),"#","%23"),CHAR(10),"%0A")&amp;"&amp;body="&amp;SUBSTITUTE(SUBSTITUTE(SUBSTITUTE(SUBSTITUTE(SUBSTITUTE("Ref: "&amp;A80&amp;CHAR(10)&amp;"Customer: "&amp;D80&amp;"  "&amp;E80&amp;CHAR(10)&amp;"Phone: "&amp;F80&amp;CHAR(10)&amp;"Email: "&amp;G80&amp;CHAR(10)&amp;"Prefers: "&amp;H80&amp;CHAR(10)&amp;"Enquiry: "&amp;LEFT(I80,600)&amp;CHAR(10)&amp;CHAR(10)&amp;"Sent from the Preston Mazda enquiry log.","%","%25"),"&amp;","%26")," ","%20"),"#","%23"),CHAR(10),"%0A"),"✉ Email advisors"),"")</f>
        <v/>
      </c>
      <c r="V80" s="18" t="str">
        <f aca="false">IF(OR(M80="",IFERROR(INDEX(Staff!$B$4:$B$33,MATCH(M80,Staff!$A$4:$A$33,0)),"")=""),"",HYPERLINK("mailto:"&amp;IFERROR(INDEX(Staff!$B$4:$B$33,MATCH(M80,Staff!$A$4:$A$33,0)),"")&amp;"?subject="&amp;SUBSTITUTE(SUBSTITUTE(SUBSTITUTE(SUBSTITUTE(SUBSTITUTE("Enquiry "&amp;A80&amp;" allocated to you - "&amp;D80,"%","%25"),"&amp;","%26")," ","%20"),"#","%23"),CHAR(10),"%0A")&amp;"&amp;body="&amp;SUBSTITUTE(SUBSTITUTE(SUBSTITUTE(SUBSTITUTE(SUBSTITUTE("Ref: "&amp;A80&amp;CHAR(10)&amp;"Customer: "&amp;D80&amp;"  "&amp;E80&amp;CHAR(10)&amp;"Phone: "&amp;F80&amp;CHAR(10)&amp;"Email: "&amp;G80&amp;CHAR(10)&amp;"Prefers: "&amp;H80&amp;CHAR(10)&amp;"Enquiry: "&amp;LEFT(I80,600)&amp;CHAR(10)&amp;CHAR(10)&amp;"Sent from the Preston Mazda enquiry log.","%","%25"),"&amp;","%26")," ","%20"),"#","%23"),CHAR(10),"%0A"),"✉ Email "&amp;M80))</f>
        <v/>
      </c>
      <c r="W80" s="18" t="str">
        <f aca="false">IF(OR(P80="",IFERROR(INDEX(Staff!$E$4:$E$33,MATCH(P80,Staff!$D$4:$D$33,0)),"")=""),"",HYPERLINK("mailto:"&amp;IFERROR(INDEX(Staff!$E$4:$E$33,MATCH(P80,Staff!$D$4:$D$33,0)),"")&amp;"?subject="&amp;SUBSTITUTE(SUBSTITUTE(SUBSTITUTE(SUBSTITUTE(SUBSTITUTE("Parts quote "&amp;A80&amp;" allocated to you - "&amp;D80,"%","%25"),"&amp;","%26")," ","%20"),"#","%23"),CHAR(10),"%0A")&amp;"&amp;body="&amp;SUBSTITUTE(SUBSTITUTE(SUBSTITUTE(SUBSTITUTE(SUBSTITUTE("Ref: "&amp;A80&amp;CHAR(10)&amp;"Customer: "&amp;D80&amp;"  "&amp;E80&amp;CHAR(10)&amp;"Phone: "&amp;F80&amp;CHAR(10)&amp;"Email: "&amp;G80&amp;CHAR(10)&amp;"Prefers: "&amp;H80&amp;CHAR(10)&amp;"Enquiry: "&amp;LEFT(I80,600)&amp;CHAR(10)&amp;CHAR(10)&amp;"Sent from the Preston Mazda enquiry log.","%","%25"),"&amp;","%26")," ","%20"),"#","%23"),CHAR(10),"%0A"),"✉ Email "&amp;P80))</f>
        <v/>
      </c>
    </row>
    <row r="81" customFormat="false" ht="15" hidden="false" customHeight="false" outlineLevel="0" collapsed="false">
      <c r="A81" s="10" t="str">
        <f aca="false">IF(D81="","","E-"&amp;TEXT(ROW()-3,"0000"))</f>
        <v/>
      </c>
      <c r="B81" s="11"/>
      <c r="C81" s="12"/>
      <c r="D81" s="13"/>
      <c r="E81" s="14"/>
      <c r="F81" s="12"/>
      <c r="G81" s="12"/>
      <c r="H81" s="15"/>
      <c r="I81" s="16"/>
      <c r="J81" s="17" t="str">
        <f aca="false">IF(D81="","",HYPERLINK(Settings!$B$7&amp;A81&amp;".pdf","Open "&amp;A81&amp;".pdf"))</f>
        <v/>
      </c>
      <c r="K81" s="16"/>
      <c r="L81" s="12"/>
      <c r="M81" s="12"/>
      <c r="N81" s="15"/>
      <c r="O81" s="15"/>
      <c r="P81" s="12"/>
      <c r="Q81" s="15"/>
      <c r="R81" s="15"/>
      <c r="S81" s="15" t="str">
        <f aca="false">IF(D81="","",IF(AND(O81="Yes",OR(Q81&lt;&gt;"Yes",R81="Yes")),"Complete","Open"))</f>
        <v/>
      </c>
      <c r="T81" s="18" t="str">
        <f aca="false">IF(AND(Q81="Yes",R81&lt;&gt;"Yes"),HYPERLINK("mailto:"&amp;Settings!$B$5&amp;"?subject="&amp;SUBSTITUTE(SUBSTITUTE(SUBSTITUTE(SUBSTITUTE(SUBSTITUTE("Parts quote required - "&amp;D81&amp;" "&amp;E81,"%","%25"),"&amp;","%26")," ","%20"),"#","%23"),CHAR(10),"%0A")&amp;"&amp;body="&amp;SUBSTITUTE(SUBSTITUTE(SUBSTITUTE(SUBSTITUTE(SUBSTITUTE("Ref: "&amp;A81&amp;CHAR(10)&amp;"Customer: "&amp;D81&amp;"  "&amp;E81&amp;CHAR(10)&amp;"Phone: "&amp;F81&amp;CHAR(10)&amp;"Email: "&amp;G81&amp;CHAR(10)&amp;"Prefers: "&amp;H81&amp;CHAR(10)&amp;"Enquiry: "&amp;LEFT(I81,600)&amp;CHAR(10)&amp;CHAR(10)&amp;"Sent from the Preston Mazda enquiry log.","%","%25"),"&amp;","%26")," ","%20"),"#","%23"),CHAR(10),"%0A"),"✉ Email parts"),"")</f>
        <v/>
      </c>
      <c r="U81" s="18" t="str">
        <f aca="false">IF(AND(N81="Yes",O81&lt;&gt;"Yes"),HYPERLINK("mailto:"&amp;Settings!$B$6&amp;"?subject="&amp;SUBSTITUTE(SUBSTITUTE(SUBSTITUTE(SUBSTITUTE(SUBSTITUTE("Customer contact required - "&amp;D81&amp;" "&amp;E81,"%","%25"),"&amp;","%26")," ","%20"),"#","%23"),CHAR(10),"%0A")&amp;"&amp;body="&amp;SUBSTITUTE(SUBSTITUTE(SUBSTITUTE(SUBSTITUTE(SUBSTITUTE("Ref: "&amp;A81&amp;CHAR(10)&amp;"Customer: "&amp;D81&amp;"  "&amp;E81&amp;CHAR(10)&amp;"Phone: "&amp;F81&amp;CHAR(10)&amp;"Email: "&amp;G81&amp;CHAR(10)&amp;"Prefers: "&amp;H81&amp;CHAR(10)&amp;"Enquiry: "&amp;LEFT(I81,600)&amp;CHAR(10)&amp;CHAR(10)&amp;"Sent from the Preston Mazda enquiry log.","%","%25"),"&amp;","%26")," ","%20"),"#","%23"),CHAR(10),"%0A"),"✉ Email advisors"),"")</f>
        <v/>
      </c>
      <c r="V81" s="18" t="str">
        <f aca="false">IF(OR(M81="",IFERROR(INDEX(Staff!$B$4:$B$33,MATCH(M81,Staff!$A$4:$A$33,0)),"")=""),"",HYPERLINK("mailto:"&amp;IFERROR(INDEX(Staff!$B$4:$B$33,MATCH(M81,Staff!$A$4:$A$33,0)),"")&amp;"?subject="&amp;SUBSTITUTE(SUBSTITUTE(SUBSTITUTE(SUBSTITUTE(SUBSTITUTE("Enquiry "&amp;A81&amp;" allocated to you - "&amp;D81,"%","%25"),"&amp;","%26")," ","%20"),"#","%23"),CHAR(10),"%0A")&amp;"&amp;body="&amp;SUBSTITUTE(SUBSTITUTE(SUBSTITUTE(SUBSTITUTE(SUBSTITUTE("Ref: "&amp;A81&amp;CHAR(10)&amp;"Customer: "&amp;D81&amp;"  "&amp;E81&amp;CHAR(10)&amp;"Phone: "&amp;F81&amp;CHAR(10)&amp;"Email: "&amp;G81&amp;CHAR(10)&amp;"Prefers: "&amp;H81&amp;CHAR(10)&amp;"Enquiry: "&amp;LEFT(I81,600)&amp;CHAR(10)&amp;CHAR(10)&amp;"Sent from the Preston Mazda enquiry log.","%","%25"),"&amp;","%26")," ","%20"),"#","%23"),CHAR(10),"%0A"),"✉ Email "&amp;M81))</f>
        <v/>
      </c>
      <c r="W81" s="18" t="str">
        <f aca="false">IF(OR(P81="",IFERROR(INDEX(Staff!$E$4:$E$33,MATCH(P81,Staff!$D$4:$D$33,0)),"")=""),"",HYPERLINK("mailto:"&amp;IFERROR(INDEX(Staff!$E$4:$E$33,MATCH(P81,Staff!$D$4:$D$33,0)),"")&amp;"?subject="&amp;SUBSTITUTE(SUBSTITUTE(SUBSTITUTE(SUBSTITUTE(SUBSTITUTE("Parts quote "&amp;A81&amp;" allocated to you - "&amp;D81,"%","%25"),"&amp;","%26")," ","%20"),"#","%23"),CHAR(10),"%0A")&amp;"&amp;body="&amp;SUBSTITUTE(SUBSTITUTE(SUBSTITUTE(SUBSTITUTE(SUBSTITUTE("Ref: "&amp;A81&amp;CHAR(10)&amp;"Customer: "&amp;D81&amp;"  "&amp;E81&amp;CHAR(10)&amp;"Phone: "&amp;F81&amp;CHAR(10)&amp;"Email: "&amp;G81&amp;CHAR(10)&amp;"Prefers: "&amp;H81&amp;CHAR(10)&amp;"Enquiry: "&amp;LEFT(I81,600)&amp;CHAR(10)&amp;CHAR(10)&amp;"Sent from the Preston Mazda enquiry log.","%","%25"),"&amp;","%26")," ","%20"),"#","%23"),CHAR(10),"%0A"),"✉ Email "&amp;P81))</f>
        <v/>
      </c>
    </row>
    <row r="82" customFormat="false" ht="15" hidden="false" customHeight="false" outlineLevel="0" collapsed="false">
      <c r="A82" s="10" t="str">
        <f aca="false">IF(D82="","","E-"&amp;TEXT(ROW()-3,"0000"))</f>
        <v/>
      </c>
      <c r="B82" s="11"/>
      <c r="C82" s="12"/>
      <c r="D82" s="13"/>
      <c r="E82" s="14"/>
      <c r="F82" s="12"/>
      <c r="G82" s="12"/>
      <c r="H82" s="15"/>
      <c r="I82" s="16"/>
      <c r="J82" s="17" t="str">
        <f aca="false">IF(D82="","",HYPERLINK(Settings!$B$7&amp;A82&amp;".pdf","Open "&amp;A82&amp;".pdf"))</f>
        <v/>
      </c>
      <c r="K82" s="16"/>
      <c r="L82" s="12"/>
      <c r="M82" s="12"/>
      <c r="N82" s="15"/>
      <c r="O82" s="15"/>
      <c r="P82" s="12"/>
      <c r="Q82" s="15"/>
      <c r="R82" s="15"/>
      <c r="S82" s="15" t="str">
        <f aca="false">IF(D82="","",IF(AND(O82="Yes",OR(Q82&lt;&gt;"Yes",R82="Yes")),"Complete","Open"))</f>
        <v/>
      </c>
      <c r="T82" s="18" t="str">
        <f aca="false">IF(AND(Q82="Yes",R82&lt;&gt;"Yes"),HYPERLINK("mailto:"&amp;Settings!$B$5&amp;"?subject="&amp;SUBSTITUTE(SUBSTITUTE(SUBSTITUTE(SUBSTITUTE(SUBSTITUTE("Parts quote required - "&amp;D82&amp;" "&amp;E82,"%","%25"),"&amp;","%26")," ","%20"),"#","%23"),CHAR(10),"%0A")&amp;"&amp;body="&amp;SUBSTITUTE(SUBSTITUTE(SUBSTITUTE(SUBSTITUTE(SUBSTITUTE("Ref: "&amp;A82&amp;CHAR(10)&amp;"Customer: "&amp;D82&amp;"  "&amp;E82&amp;CHAR(10)&amp;"Phone: "&amp;F82&amp;CHAR(10)&amp;"Email: "&amp;G82&amp;CHAR(10)&amp;"Prefers: "&amp;H82&amp;CHAR(10)&amp;"Enquiry: "&amp;LEFT(I82,600)&amp;CHAR(10)&amp;CHAR(10)&amp;"Sent from the Preston Mazda enquiry log.","%","%25"),"&amp;","%26")," ","%20"),"#","%23"),CHAR(10),"%0A"),"✉ Email parts"),"")</f>
        <v/>
      </c>
      <c r="U82" s="18" t="str">
        <f aca="false">IF(AND(N82="Yes",O82&lt;&gt;"Yes"),HYPERLINK("mailto:"&amp;Settings!$B$6&amp;"?subject="&amp;SUBSTITUTE(SUBSTITUTE(SUBSTITUTE(SUBSTITUTE(SUBSTITUTE("Customer contact required - "&amp;D82&amp;" "&amp;E82,"%","%25"),"&amp;","%26")," ","%20"),"#","%23"),CHAR(10),"%0A")&amp;"&amp;body="&amp;SUBSTITUTE(SUBSTITUTE(SUBSTITUTE(SUBSTITUTE(SUBSTITUTE("Ref: "&amp;A82&amp;CHAR(10)&amp;"Customer: "&amp;D82&amp;"  "&amp;E82&amp;CHAR(10)&amp;"Phone: "&amp;F82&amp;CHAR(10)&amp;"Email: "&amp;G82&amp;CHAR(10)&amp;"Prefers: "&amp;H82&amp;CHAR(10)&amp;"Enquiry: "&amp;LEFT(I82,600)&amp;CHAR(10)&amp;CHAR(10)&amp;"Sent from the Preston Mazda enquiry log.","%","%25"),"&amp;","%26")," ","%20"),"#","%23"),CHAR(10),"%0A"),"✉ Email advisors"),"")</f>
        <v/>
      </c>
      <c r="V82" s="18" t="str">
        <f aca="false">IF(OR(M82="",IFERROR(INDEX(Staff!$B$4:$B$33,MATCH(M82,Staff!$A$4:$A$33,0)),"")=""),"",HYPERLINK("mailto:"&amp;IFERROR(INDEX(Staff!$B$4:$B$33,MATCH(M82,Staff!$A$4:$A$33,0)),"")&amp;"?subject="&amp;SUBSTITUTE(SUBSTITUTE(SUBSTITUTE(SUBSTITUTE(SUBSTITUTE("Enquiry "&amp;A82&amp;" allocated to you - "&amp;D82,"%","%25"),"&amp;","%26")," ","%20"),"#","%23"),CHAR(10),"%0A")&amp;"&amp;body="&amp;SUBSTITUTE(SUBSTITUTE(SUBSTITUTE(SUBSTITUTE(SUBSTITUTE("Ref: "&amp;A82&amp;CHAR(10)&amp;"Customer: "&amp;D82&amp;"  "&amp;E82&amp;CHAR(10)&amp;"Phone: "&amp;F82&amp;CHAR(10)&amp;"Email: "&amp;G82&amp;CHAR(10)&amp;"Prefers: "&amp;H82&amp;CHAR(10)&amp;"Enquiry: "&amp;LEFT(I82,600)&amp;CHAR(10)&amp;CHAR(10)&amp;"Sent from the Preston Mazda enquiry log.","%","%25"),"&amp;","%26")," ","%20"),"#","%23"),CHAR(10),"%0A"),"✉ Email "&amp;M82))</f>
        <v/>
      </c>
      <c r="W82" s="18" t="str">
        <f aca="false">IF(OR(P82="",IFERROR(INDEX(Staff!$E$4:$E$33,MATCH(P82,Staff!$D$4:$D$33,0)),"")=""),"",HYPERLINK("mailto:"&amp;IFERROR(INDEX(Staff!$E$4:$E$33,MATCH(P82,Staff!$D$4:$D$33,0)),"")&amp;"?subject="&amp;SUBSTITUTE(SUBSTITUTE(SUBSTITUTE(SUBSTITUTE(SUBSTITUTE("Parts quote "&amp;A82&amp;" allocated to you - "&amp;D82,"%","%25"),"&amp;","%26")," ","%20"),"#","%23"),CHAR(10),"%0A")&amp;"&amp;body="&amp;SUBSTITUTE(SUBSTITUTE(SUBSTITUTE(SUBSTITUTE(SUBSTITUTE("Ref: "&amp;A82&amp;CHAR(10)&amp;"Customer: "&amp;D82&amp;"  "&amp;E82&amp;CHAR(10)&amp;"Phone: "&amp;F82&amp;CHAR(10)&amp;"Email: "&amp;G82&amp;CHAR(10)&amp;"Prefers: "&amp;H82&amp;CHAR(10)&amp;"Enquiry: "&amp;LEFT(I82,600)&amp;CHAR(10)&amp;CHAR(10)&amp;"Sent from the Preston Mazda enquiry log.","%","%25"),"&amp;","%26")," ","%20"),"#","%23"),CHAR(10),"%0A"),"✉ Email "&amp;P82))</f>
        <v/>
      </c>
    </row>
    <row r="83" customFormat="false" ht="15" hidden="false" customHeight="false" outlineLevel="0" collapsed="false">
      <c r="A83" s="10" t="str">
        <f aca="false">IF(D83="","","E-"&amp;TEXT(ROW()-3,"0000"))</f>
        <v/>
      </c>
      <c r="B83" s="11"/>
      <c r="C83" s="12"/>
      <c r="D83" s="13"/>
      <c r="E83" s="14"/>
      <c r="F83" s="12"/>
      <c r="G83" s="12"/>
      <c r="H83" s="15"/>
      <c r="I83" s="16"/>
      <c r="J83" s="17" t="str">
        <f aca="false">IF(D83="","",HYPERLINK(Settings!$B$7&amp;A83&amp;".pdf","Open "&amp;A83&amp;".pdf"))</f>
        <v/>
      </c>
      <c r="K83" s="16"/>
      <c r="L83" s="12"/>
      <c r="M83" s="12"/>
      <c r="N83" s="15"/>
      <c r="O83" s="15"/>
      <c r="P83" s="12"/>
      <c r="Q83" s="15"/>
      <c r="R83" s="15"/>
      <c r="S83" s="15" t="str">
        <f aca="false">IF(D83="","",IF(AND(O83="Yes",OR(Q83&lt;&gt;"Yes",R83="Yes")),"Complete","Open"))</f>
        <v/>
      </c>
      <c r="T83" s="18" t="str">
        <f aca="false">IF(AND(Q83="Yes",R83&lt;&gt;"Yes"),HYPERLINK("mailto:"&amp;Settings!$B$5&amp;"?subject="&amp;SUBSTITUTE(SUBSTITUTE(SUBSTITUTE(SUBSTITUTE(SUBSTITUTE("Parts quote required - "&amp;D83&amp;" "&amp;E83,"%","%25"),"&amp;","%26")," ","%20"),"#","%23"),CHAR(10),"%0A")&amp;"&amp;body="&amp;SUBSTITUTE(SUBSTITUTE(SUBSTITUTE(SUBSTITUTE(SUBSTITUTE("Ref: "&amp;A83&amp;CHAR(10)&amp;"Customer: "&amp;D83&amp;"  "&amp;E83&amp;CHAR(10)&amp;"Phone: "&amp;F83&amp;CHAR(10)&amp;"Email: "&amp;G83&amp;CHAR(10)&amp;"Prefers: "&amp;H83&amp;CHAR(10)&amp;"Enquiry: "&amp;LEFT(I83,600)&amp;CHAR(10)&amp;CHAR(10)&amp;"Sent from the Preston Mazda enquiry log.","%","%25"),"&amp;","%26")," ","%20"),"#","%23"),CHAR(10),"%0A"),"✉ Email parts"),"")</f>
        <v/>
      </c>
      <c r="U83" s="18" t="str">
        <f aca="false">IF(AND(N83="Yes",O83&lt;&gt;"Yes"),HYPERLINK("mailto:"&amp;Settings!$B$6&amp;"?subject="&amp;SUBSTITUTE(SUBSTITUTE(SUBSTITUTE(SUBSTITUTE(SUBSTITUTE("Customer contact required - "&amp;D83&amp;" "&amp;E83,"%","%25"),"&amp;","%26")," ","%20"),"#","%23"),CHAR(10),"%0A")&amp;"&amp;body="&amp;SUBSTITUTE(SUBSTITUTE(SUBSTITUTE(SUBSTITUTE(SUBSTITUTE("Ref: "&amp;A83&amp;CHAR(10)&amp;"Customer: "&amp;D83&amp;"  "&amp;E83&amp;CHAR(10)&amp;"Phone: "&amp;F83&amp;CHAR(10)&amp;"Email: "&amp;G83&amp;CHAR(10)&amp;"Prefers: "&amp;H83&amp;CHAR(10)&amp;"Enquiry: "&amp;LEFT(I83,600)&amp;CHAR(10)&amp;CHAR(10)&amp;"Sent from the Preston Mazda enquiry log.","%","%25"),"&amp;","%26")," ","%20"),"#","%23"),CHAR(10),"%0A"),"✉ Email advisors"),"")</f>
        <v/>
      </c>
      <c r="V83" s="18" t="str">
        <f aca="false">IF(OR(M83="",IFERROR(INDEX(Staff!$B$4:$B$33,MATCH(M83,Staff!$A$4:$A$33,0)),"")=""),"",HYPERLINK("mailto:"&amp;IFERROR(INDEX(Staff!$B$4:$B$33,MATCH(M83,Staff!$A$4:$A$33,0)),"")&amp;"?subject="&amp;SUBSTITUTE(SUBSTITUTE(SUBSTITUTE(SUBSTITUTE(SUBSTITUTE("Enquiry "&amp;A83&amp;" allocated to you - "&amp;D83,"%","%25"),"&amp;","%26")," ","%20"),"#","%23"),CHAR(10),"%0A")&amp;"&amp;body="&amp;SUBSTITUTE(SUBSTITUTE(SUBSTITUTE(SUBSTITUTE(SUBSTITUTE("Ref: "&amp;A83&amp;CHAR(10)&amp;"Customer: "&amp;D83&amp;"  "&amp;E83&amp;CHAR(10)&amp;"Phone: "&amp;F83&amp;CHAR(10)&amp;"Email: "&amp;G83&amp;CHAR(10)&amp;"Prefers: "&amp;H83&amp;CHAR(10)&amp;"Enquiry: "&amp;LEFT(I83,600)&amp;CHAR(10)&amp;CHAR(10)&amp;"Sent from the Preston Mazda enquiry log.","%","%25"),"&amp;","%26")," ","%20"),"#","%23"),CHAR(10),"%0A"),"✉ Email "&amp;M83))</f>
        <v/>
      </c>
      <c r="W83" s="18" t="str">
        <f aca="false">IF(OR(P83="",IFERROR(INDEX(Staff!$E$4:$E$33,MATCH(P83,Staff!$D$4:$D$33,0)),"")=""),"",HYPERLINK("mailto:"&amp;IFERROR(INDEX(Staff!$E$4:$E$33,MATCH(P83,Staff!$D$4:$D$33,0)),"")&amp;"?subject="&amp;SUBSTITUTE(SUBSTITUTE(SUBSTITUTE(SUBSTITUTE(SUBSTITUTE("Parts quote "&amp;A83&amp;" allocated to you - "&amp;D83,"%","%25"),"&amp;","%26")," ","%20"),"#","%23"),CHAR(10),"%0A")&amp;"&amp;body="&amp;SUBSTITUTE(SUBSTITUTE(SUBSTITUTE(SUBSTITUTE(SUBSTITUTE("Ref: "&amp;A83&amp;CHAR(10)&amp;"Customer: "&amp;D83&amp;"  "&amp;E83&amp;CHAR(10)&amp;"Phone: "&amp;F83&amp;CHAR(10)&amp;"Email: "&amp;G83&amp;CHAR(10)&amp;"Prefers: "&amp;H83&amp;CHAR(10)&amp;"Enquiry: "&amp;LEFT(I83,600)&amp;CHAR(10)&amp;CHAR(10)&amp;"Sent from the Preston Mazda enquiry log.","%","%25"),"&amp;","%26")," ","%20"),"#","%23"),CHAR(10),"%0A"),"✉ Email "&amp;P83))</f>
        <v/>
      </c>
    </row>
    <row r="84" customFormat="false" ht="15" hidden="false" customHeight="false" outlineLevel="0" collapsed="false">
      <c r="A84" s="10" t="str">
        <f aca="false">IF(D84="","","E-"&amp;TEXT(ROW()-3,"0000"))</f>
        <v/>
      </c>
      <c r="B84" s="11"/>
      <c r="C84" s="12"/>
      <c r="D84" s="13"/>
      <c r="E84" s="14"/>
      <c r="F84" s="12"/>
      <c r="G84" s="12"/>
      <c r="H84" s="15"/>
      <c r="I84" s="16"/>
      <c r="J84" s="17" t="str">
        <f aca="false">IF(D84="","",HYPERLINK(Settings!$B$7&amp;A84&amp;".pdf","Open "&amp;A84&amp;".pdf"))</f>
        <v/>
      </c>
      <c r="K84" s="16"/>
      <c r="L84" s="12"/>
      <c r="M84" s="12"/>
      <c r="N84" s="15"/>
      <c r="O84" s="15"/>
      <c r="P84" s="12"/>
      <c r="Q84" s="15"/>
      <c r="R84" s="15"/>
      <c r="S84" s="15" t="str">
        <f aca="false">IF(D84="","",IF(AND(O84="Yes",OR(Q84&lt;&gt;"Yes",R84="Yes")),"Complete","Open"))</f>
        <v/>
      </c>
      <c r="T84" s="18" t="str">
        <f aca="false">IF(AND(Q84="Yes",R84&lt;&gt;"Yes"),HYPERLINK("mailto:"&amp;Settings!$B$5&amp;"?subject="&amp;SUBSTITUTE(SUBSTITUTE(SUBSTITUTE(SUBSTITUTE(SUBSTITUTE("Parts quote required - "&amp;D84&amp;" "&amp;E84,"%","%25"),"&amp;","%26")," ","%20"),"#","%23"),CHAR(10),"%0A")&amp;"&amp;body="&amp;SUBSTITUTE(SUBSTITUTE(SUBSTITUTE(SUBSTITUTE(SUBSTITUTE("Ref: "&amp;A84&amp;CHAR(10)&amp;"Customer: "&amp;D84&amp;"  "&amp;E84&amp;CHAR(10)&amp;"Phone: "&amp;F84&amp;CHAR(10)&amp;"Email: "&amp;G84&amp;CHAR(10)&amp;"Prefers: "&amp;H84&amp;CHAR(10)&amp;"Enquiry: "&amp;LEFT(I84,600)&amp;CHAR(10)&amp;CHAR(10)&amp;"Sent from the Preston Mazda enquiry log.","%","%25"),"&amp;","%26")," ","%20"),"#","%23"),CHAR(10),"%0A"),"✉ Email parts"),"")</f>
        <v/>
      </c>
      <c r="U84" s="18" t="str">
        <f aca="false">IF(AND(N84="Yes",O84&lt;&gt;"Yes"),HYPERLINK("mailto:"&amp;Settings!$B$6&amp;"?subject="&amp;SUBSTITUTE(SUBSTITUTE(SUBSTITUTE(SUBSTITUTE(SUBSTITUTE("Customer contact required - "&amp;D84&amp;" "&amp;E84,"%","%25"),"&amp;","%26")," ","%20"),"#","%23"),CHAR(10),"%0A")&amp;"&amp;body="&amp;SUBSTITUTE(SUBSTITUTE(SUBSTITUTE(SUBSTITUTE(SUBSTITUTE("Ref: "&amp;A84&amp;CHAR(10)&amp;"Customer: "&amp;D84&amp;"  "&amp;E84&amp;CHAR(10)&amp;"Phone: "&amp;F84&amp;CHAR(10)&amp;"Email: "&amp;G84&amp;CHAR(10)&amp;"Prefers: "&amp;H84&amp;CHAR(10)&amp;"Enquiry: "&amp;LEFT(I84,600)&amp;CHAR(10)&amp;CHAR(10)&amp;"Sent from the Preston Mazda enquiry log.","%","%25"),"&amp;","%26")," ","%20"),"#","%23"),CHAR(10),"%0A"),"✉ Email advisors"),"")</f>
        <v/>
      </c>
      <c r="V84" s="18" t="str">
        <f aca="false">IF(OR(M84="",IFERROR(INDEX(Staff!$B$4:$B$33,MATCH(M84,Staff!$A$4:$A$33,0)),"")=""),"",HYPERLINK("mailto:"&amp;IFERROR(INDEX(Staff!$B$4:$B$33,MATCH(M84,Staff!$A$4:$A$33,0)),"")&amp;"?subject="&amp;SUBSTITUTE(SUBSTITUTE(SUBSTITUTE(SUBSTITUTE(SUBSTITUTE("Enquiry "&amp;A84&amp;" allocated to you - "&amp;D84,"%","%25"),"&amp;","%26")," ","%20"),"#","%23"),CHAR(10),"%0A")&amp;"&amp;body="&amp;SUBSTITUTE(SUBSTITUTE(SUBSTITUTE(SUBSTITUTE(SUBSTITUTE("Ref: "&amp;A84&amp;CHAR(10)&amp;"Customer: "&amp;D84&amp;"  "&amp;E84&amp;CHAR(10)&amp;"Phone: "&amp;F84&amp;CHAR(10)&amp;"Email: "&amp;G84&amp;CHAR(10)&amp;"Prefers: "&amp;H84&amp;CHAR(10)&amp;"Enquiry: "&amp;LEFT(I84,600)&amp;CHAR(10)&amp;CHAR(10)&amp;"Sent from the Preston Mazda enquiry log.","%","%25"),"&amp;","%26")," ","%20"),"#","%23"),CHAR(10),"%0A"),"✉ Email "&amp;M84))</f>
        <v/>
      </c>
      <c r="W84" s="18" t="str">
        <f aca="false">IF(OR(P84="",IFERROR(INDEX(Staff!$E$4:$E$33,MATCH(P84,Staff!$D$4:$D$33,0)),"")=""),"",HYPERLINK("mailto:"&amp;IFERROR(INDEX(Staff!$E$4:$E$33,MATCH(P84,Staff!$D$4:$D$33,0)),"")&amp;"?subject="&amp;SUBSTITUTE(SUBSTITUTE(SUBSTITUTE(SUBSTITUTE(SUBSTITUTE("Parts quote "&amp;A84&amp;" allocated to you - "&amp;D84,"%","%25"),"&amp;","%26")," ","%20"),"#","%23"),CHAR(10),"%0A")&amp;"&amp;body="&amp;SUBSTITUTE(SUBSTITUTE(SUBSTITUTE(SUBSTITUTE(SUBSTITUTE("Ref: "&amp;A84&amp;CHAR(10)&amp;"Customer: "&amp;D84&amp;"  "&amp;E84&amp;CHAR(10)&amp;"Phone: "&amp;F84&amp;CHAR(10)&amp;"Email: "&amp;G84&amp;CHAR(10)&amp;"Prefers: "&amp;H84&amp;CHAR(10)&amp;"Enquiry: "&amp;LEFT(I84,600)&amp;CHAR(10)&amp;CHAR(10)&amp;"Sent from the Preston Mazda enquiry log.","%","%25"),"&amp;","%26")," ","%20"),"#","%23"),CHAR(10),"%0A"),"✉ Email "&amp;P84))</f>
        <v/>
      </c>
    </row>
    <row r="85" customFormat="false" ht="15" hidden="false" customHeight="false" outlineLevel="0" collapsed="false">
      <c r="A85" s="10" t="str">
        <f aca="false">IF(D85="","","E-"&amp;TEXT(ROW()-3,"0000"))</f>
        <v/>
      </c>
      <c r="B85" s="11"/>
      <c r="C85" s="12"/>
      <c r="D85" s="13"/>
      <c r="E85" s="14"/>
      <c r="F85" s="12"/>
      <c r="G85" s="12"/>
      <c r="H85" s="15"/>
      <c r="I85" s="16"/>
      <c r="J85" s="17" t="str">
        <f aca="false">IF(D85="","",HYPERLINK(Settings!$B$7&amp;A85&amp;".pdf","Open "&amp;A85&amp;".pdf"))</f>
        <v/>
      </c>
      <c r="K85" s="16"/>
      <c r="L85" s="12"/>
      <c r="M85" s="12"/>
      <c r="N85" s="15"/>
      <c r="O85" s="15"/>
      <c r="P85" s="12"/>
      <c r="Q85" s="15"/>
      <c r="R85" s="15"/>
      <c r="S85" s="15" t="str">
        <f aca="false">IF(D85="","",IF(AND(O85="Yes",OR(Q85&lt;&gt;"Yes",R85="Yes")),"Complete","Open"))</f>
        <v/>
      </c>
      <c r="T85" s="18" t="str">
        <f aca="false">IF(AND(Q85="Yes",R85&lt;&gt;"Yes"),HYPERLINK("mailto:"&amp;Settings!$B$5&amp;"?subject="&amp;SUBSTITUTE(SUBSTITUTE(SUBSTITUTE(SUBSTITUTE(SUBSTITUTE("Parts quote required - "&amp;D85&amp;" "&amp;E85,"%","%25"),"&amp;","%26")," ","%20"),"#","%23"),CHAR(10),"%0A")&amp;"&amp;body="&amp;SUBSTITUTE(SUBSTITUTE(SUBSTITUTE(SUBSTITUTE(SUBSTITUTE("Ref: "&amp;A85&amp;CHAR(10)&amp;"Customer: "&amp;D85&amp;"  "&amp;E85&amp;CHAR(10)&amp;"Phone: "&amp;F85&amp;CHAR(10)&amp;"Email: "&amp;G85&amp;CHAR(10)&amp;"Prefers: "&amp;H85&amp;CHAR(10)&amp;"Enquiry: "&amp;LEFT(I85,600)&amp;CHAR(10)&amp;CHAR(10)&amp;"Sent from the Preston Mazda enquiry log.","%","%25"),"&amp;","%26")," ","%20"),"#","%23"),CHAR(10),"%0A"),"✉ Email parts"),"")</f>
        <v/>
      </c>
      <c r="U85" s="18" t="str">
        <f aca="false">IF(AND(N85="Yes",O85&lt;&gt;"Yes"),HYPERLINK("mailto:"&amp;Settings!$B$6&amp;"?subject="&amp;SUBSTITUTE(SUBSTITUTE(SUBSTITUTE(SUBSTITUTE(SUBSTITUTE("Customer contact required - "&amp;D85&amp;" "&amp;E85,"%","%25"),"&amp;","%26")," ","%20"),"#","%23"),CHAR(10),"%0A")&amp;"&amp;body="&amp;SUBSTITUTE(SUBSTITUTE(SUBSTITUTE(SUBSTITUTE(SUBSTITUTE("Ref: "&amp;A85&amp;CHAR(10)&amp;"Customer: "&amp;D85&amp;"  "&amp;E85&amp;CHAR(10)&amp;"Phone: "&amp;F85&amp;CHAR(10)&amp;"Email: "&amp;G85&amp;CHAR(10)&amp;"Prefers: "&amp;H85&amp;CHAR(10)&amp;"Enquiry: "&amp;LEFT(I85,600)&amp;CHAR(10)&amp;CHAR(10)&amp;"Sent from the Preston Mazda enquiry log.","%","%25"),"&amp;","%26")," ","%20"),"#","%23"),CHAR(10),"%0A"),"✉ Email advisors"),"")</f>
        <v/>
      </c>
      <c r="V85" s="18" t="str">
        <f aca="false">IF(OR(M85="",IFERROR(INDEX(Staff!$B$4:$B$33,MATCH(M85,Staff!$A$4:$A$33,0)),"")=""),"",HYPERLINK("mailto:"&amp;IFERROR(INDEX(Staff!$B$4:$B$33,MATCH(M85,Staff!$A$4:$A$33,0)),"")&amp;"?subject="&amp;SUBSTITUTE(SUBSTITUTE(SUBSTITUTE(SUBSTITUTE(SUBSTITUTE("Enquiry "&amp;A85&amp;" allocated to you - "&amp;D85,"%","%25"),"&amp;","%26")," ","%20"),"#","%23"),CHAR(10),"%0A")&amp;"&amp;body="&amp;SUBSTITUTE(SUBSTITUTE(SUBSTITUTE(SUBSTITUTE(SUBSTITUTE("Ref: "&amp;A85&amp;CHAR(10)&amp;"Customer: "&amp;D85&amp;"  "&amp;E85&amp;CHAR(10)&amp;"Phone: "&amp;F85&amp;CHAR(10)&amp;"Email: "&amp;G85&amp;CHAR(10)&amp;"Prefers: "&amp;H85&amp;CHAR(10)&amp;"Enquiry: "&amp;LEFT(I85,600)&amp;CHAR(10)&amp;CHAR(10)&amp;"Sent from the Preston Mazda enquiry log.","%","%25"),"&amp;","%26")," ","%20"),"#","%23"),CHAR(10),"%0A"),"✉ Email "&amp;M85))</f>
        <v/>
      </c>
      <c r="W85" s="18" t="str">
        <f aca="false">IF(OR(P85="",IFERROR(INDEX(Staff!$E$4:$E$33,MATCH(P85,Staff!$D$4:$D$33,0)),"")=""),"",HYPERLINK("mailto:"&amp;IFERROR(INDEX(Staff!$E$4:$E$33,MATCH(P85,Staff!$D$4:$D$33,0)),"")&amp;"?subject="&amp;SUBSTITUTE(SUBSTITUTE(SUBSTITUTE(SUBSTITUTE(SUBSTITUTE("Parts quote "&amp;A85&amp;" allocated to you - "&amp;D85,"%","%25"),"&amp;","%26")," ","%20"),"#","%23"),CHAR(10),"%0A")&amp;"&amp;body="&amp;SUBSTITUTE(SUBSTITUTE(SUBSTITUTE(SUBSTITUTE(SUBSTITUTE("Ref: "&amp;A85&amp;CHAR(10)&amp;"Customer: "&amp;D85&amp;"  "&amp;E85&amp;CHAR(10)&amp;"Phone: "&amp;F85&amp;CHAR(10)&amp;"Email: "&amp;G85&amp;CHAR(10)&amp;"Prefers: "&amp;H85&amp;CHAR(10)&amp;"Enquiry: "&amp;LEFT(I85,600)&amp;CHAR(10)&amp;CHAR(10)&amp;"Sent from the Preston Mazda enquiry log.","%","%25"),"&amp;","%26")," ","%20"),"#","%23"),CHAR(10),"%0A"),"✉ Email "&amp;P85))</f>
        <v/>
      </c>
    </row>
    <row r="86" customFormat="false" ht="15" hidden="false" customHeight="false" outlineLevel="0" collapsed="false">
      <c r="A86" s="10" t="str">
        <f aca="false">IF(D86="","","E-"&amp;TEXT(ROW()-3,"0000"))</f>
        <v/>
      </c>
      <c r="B86" s="11"/>
      <c r="C86" s="12"/>
      <c r="D86" s="13"/>
      <c r="E86" s="14"/>
      <c r="F86" s="12"/>
      <c r="G86" s="12"/>
      <c r="H86" s="15"/>
      <c r="I86" s="16"/>
      <c r="J86" s="17" t="str">
        <f aca="false">IF(D86="","",HYPERLINK(Settings!$B$7&amp;A86&amp;".pdf","Open "&amp;A86&amp;".pdf"))</f>
        <v/>
      </c>
      <c r="K86" s="16"/>
      <c r="L86" s="12"/>
      <c r="M86" s="12"/>
      <c r="N86" s="15"/>
      <c r="O86" s="15"/>
      <c r="P86" s="12"/>
      <c r="Q86" s="15"/>
      <c r="R86" s="15"/>
      <c r="S86" s="15" t="str">
        <f aca="false">IF(D86="","",IF(AND(O86="Yes",OR(Q86&lt;&gt;"Yes",R86="Yes")),"Complete","Open"))</f>
        <v/>
      </c>
      <c r="T86" s="18" t="str">
        <f aca="false">IF(AND(Q86="Yes",R86&lt;&gt;"Yes"),HYPERLINK("mailto:"&amp;Settings!$B$5&amp;"?subject="&amp;SUBSTITUTE(SUBSTITUTE(SUBSTITUTE(SUBSTITUTE(SUBSTITUTE("Parts quote required - "&amp;D86&amp;" "&amp;E86,"%","%25"),"&amp;","%26")," ","%20"),"#","%23"),CHAR(10),"%0A")&amp;"&amp;body="&amp;SUBSTITUTE(SUBSTITUTE(SUBSTITUTE(SUBSTITUTE(SUBSTITUTE("Ref: "&amp;A86&amp;CHAR(10)&amp;"Customer: "&amp;D86&amp;"  "&amp;E86&amp;CHAR(10)&amp;"Phone: "&amp;F86&amp;CHAR(10)&amp;"Email: "&amp;G86&amp;CHAR(10)&amp;"Prefers: "&amp;H86&amp;CHAR(10)&amp;"Enquiry: "&amp;LEFT(I86,600)&amp;CHAR(10)&amp;CHAR(10)&amp;"Sent from the Preston Mazda enquiry log.","%","%25"),"&amp;","%26")," ","%20"),"#","%23"),CHAR(10),"%0A"),"✉ Email parts"),"")</f>
        <v/>
      </c>
      <c r="U86" s="18" t="str">
        <f aca="false">IF(AND(N86="Yes",O86&lt;&gt;"Yes"),HYPERLINK("mailto:"&amp;Settings!$B$6&amp;"?subject="&amp;SUBSTITUTE(SUBSTITUTE(SUBSTITUTE(SUBSTITUTE(SUBSTITUTE("Customer contact required - "&amp;D86&amp;" "&amp;E86,"%","%25"),"&amp;","%26")," ","%20"),"#","%23"),CHAR(10),"%0A")&amp;"&amp;body="&amp;SUBSTITUTE(SUBSTITUTE(SUBSTITUTE(SUBSTITUTE(SUBSTITUTE("Ref: "&amp;A86&amp;CHAR(10)&amp;"Customer: "&amp;D86&amp;"  "&amp;E86&amp;CHAR(10)&amp;"Phone: "&amp;F86&amp;CHAR(10)&amp;"Email: "&amp;G86&amp;CHAR(10)&amp;"Prefers: "&amp;H86&amp;CHAR(10)&amp;"Enquiry: "&amp;LEFT(I86,600)&amp;CHAR(10)&amp;CHAR(10)&amp;"Sent from the Preston Mazda enquiry log.","%","%25"),"&amp;","%26")," ","%20"),"#","%23"),CHAR(10),"%0A"),"✉ Email advisors"),"")</f>
        <v/>
      </c>
      <c r="V86" s="18" t="str">
        <f aca="false">IF(OR(M86="",IFERROR(INDEX(Staff!$B$4:$B$33,MATCH(M86,Staff!$A$4:$A$33,0)),"")=""),"",HYPERLINK("mailto:"&amp;IFERROR(INDEX(Staff!$B$4:$B$33,MATCH(M86,Staff!$A$4:$A$33,0)),"")&amp;"?subject="&amp;SUBSTITUTE(SUBSTITUTE(SUBSTITUTE(SUBSTITUTE(SUBSTITUTE("Enquiry "&amp;A86&amp;" allocated to you - "&amp;D86,"%","%25"),"&amp;","%26")," ","%20"),"#","%23"),CHAR(10),"%0A")&amp;"&amp;body="&amp;SUBSTITUTE(SUBSTITUTE(SUBSTITUTE(SUBSTITUTE(SUBSTITUTE("Ref: "&amp;A86&amp;CHAR(10)&amp;"Customer: "&amp;D86&amp;"  "&amp;E86&amp;CHAR(10)&amp;"Phone: "&amp;F86&amp;CHAR(10)&amp;"Email: "&amp;G86&amp;CHAR(10)&amp;"Prefers: "&amp;H86&amp;CHAR(10)&amp;"Enquiry: "&amp;LEFT(I86,600)&amp;CHAR(10)&amp;CHAR(10)&amp;"Sent from the Preston Mazda enquiry log.","%","%25"),"&amp;","%26")," ","%20"),"#","%23"),CHAR(10),"%0A"),"✉ Email "&amp;M86))</f>
        <v/>
      </c>
      <c r="W86" s="18" t="str">
        <f aca="false">IF(OR(P86="",IFERROR(INDEX(Staff!$E$4:$E$33,MATCH(P86,Staff!$D$4:$D$33,0)),"")=""),"",HYPERLINK("mailto:"&amp;IFERROR(INDEX(Staff!$E$4:$E$33,MATCH(P86,Staff!$D$4:$D$33,0)),"")&amp;"?subject="&amp;SUBSTITUTE(SUBSTITUTE(SUBSTITUTE(SUBSTITUTE(SUBSTITUTE("Parts quote "&amp;A86&amp;" allocated to you - "&amp;D86,"%","%25"),"&amp;","%26")," ","%20"),"#","%23"),CHAR(10),"%0A")&amp;"&amp;body="&amp;SUBSTITUTE(SUBSTITUTE(SUBSTITUTE(SUBSTITUTE(SUBSTITUTE("Ref: "&amp;A86&amp;CHAR(10)&amp;"Customer: "&amp;D86&amp;"  "&amp;E86&amp;CHAR(10)&amp;"Phone: "&amp;F86&amp;CHAR(10)&amp;"Email: "&amp;G86&amp;CHAR(10)&amp;"Prefers: "&amp;H86&amp;CHAR(10)&amp;"Enquiry: "&amp;LEFT(I86,600)&amp;CHAR(10)&amp;CHAR(10)&amp;"Sent from the Preston Mazda enquiry log.","%","%25"),"&amp;","%26")," ","%20"),"#","%23"),CHAR(10),"%0A"),"✉ Email "&amp;P86))</f>
        <v/>
      </c>
    </row>
    <row r="87" customFormat="false" ht="15" hidden="false" customHeight="false" outlineLevel="0" collapsed="false">
      <c r="A87" s="10" t="str">
        <f aca="false">IF(D87="","","E-"&amp;TEXT(ROW()-3,"0000"))</f>
        <v/>
      </c>
      <c r="B87" s="11"/>
      <c r="C87" s="12"/>
      <c r="D87" s="13"/>
      <c r="E87" s="14"/>
      <c r="F87" s="12"/>
      <c r="G87" s="12"/>
      <c r="H87" s="15"/>
      <c r="I87" s="16"/>
      <c r="J87" s="17" t="str">
        <f aca="false">IF(D87="","",HYPERLINK(Settings!$B$7&amp;A87&amp;".pdf","Open "&amp;A87&amp;".pdf"))</f>
        <v/>
      </c>
      <c r="K87" s="16"/>
      <c r="L87" s="12"/>
      <c r="M87" s="12"/>
      <c r="N87" s="15"/>
      <c r="O87" s="15"/>
      <c r="P87" s="12"/>
      <c r="Q87" s="15"/>
      <c r="R87" s="15"/>
      <c r="S87" s="15" t="str">
        <f aca="false">IF(D87="","",IF(AND(O87="Yes",OR(Q87&lt;&gt;"Yes",R87="Yes")),"Complete","Open"))</f>
        <v/>
      </c>
      <c r="T87" s="18" t="str">
        <f aca="false">IF(AND(Q87="Yes",R87&lt;&gt;"Yes"),HYPERLINK("mailto:"&amp;Settings!$B$5&amp;"?subject="&amp;SUBSTITUTE(SUBSTITUTE(SUBSTITUTE(SUBSTITUTE(SUBSTITUTE("Parts quote required - "&amp;D87&amp;" "&amp;E87,"%","%25"),"&amp;","%26")," ","%20"),"#","%23"),CHAR(10),"%0A")&amp;"&amp;body="&amp;SUBSTITUTE(SUBSTITUTE(SUBSTITUTE(SUBSTITUTE(SUBSTITUTE("Ref: "&amp;A87&amp;CHAR(10)&amp;"Customer: "&amp;D87&amp;"  "&amp;E87&amp;CHAR(10)&amp;"Phone: "&amp;F87&amp;CHAR(10)&amp;"Email: "&amp;G87&amp;CHAR(10)&amp;"Prefers: "&amp;H87&amp;CHAR(10)&amp;"Enquiry: "&amp;LEFT(I87,600)&amp;CHAR(10)&amp;CHAR(10)&amp;"Sent from the Preston Mazda enquiry log.","%","%25"),"&amp;","%26")," ","%20"),"#","%23"),CHAR(10),"%0A"),"✉ Email parts"),"")</f>
        <v/>
      </c>
      <c r="U87" s="18" t="str">
        <f aca="false">IF(AND(N87="Yes",O87&lt;&gt;"Yes"),HYPERLINK("mailto:"&amp;Settings!$B$6&amp;"?subject="&amp;SUBSTITUTE(SUBSTITUTE(SUBSTITUTE(SUBSTITUTE(SUBSTITUTE("Customer contact required - "&amp;D87&amp;" "&amp;E87,"%","%25"),"&amp;","%26")," ","%20"),"#","%23"),CHAR(10),"%0A")&amp;"&amp;body="&amp;SUBSTITUTE(SUBSTITUTE(SUBSTITUTE(SUBSTITUTE(SUBSTITUTE("Ref: "&amp;A87&amp;CHAR(10)&amp;"Customer: "&amp;D87&amp;"  "&amp;E87&amp;CHAR(10)&amp;"Phone: "&amp;F87&amp;CHAR(10)&amp;"Email: "&amp;G87&amp;CHAR(10)&amp;"Prefers: "&amp;H87&amp;CHAR(10)&amp;"Enquiry: "&amp;LEFT(I87,600)&amp;CHAR(10)&amp;CHAR(10)&amp;"Sent from the Preston Mazda enquiry log.","%","%25"),"&amp;","%26")," ","%20"),"#","%23"),CHAR(10),"%0A"),"✉ Email advisors"),"")</f>
        <v/>
      </c>
      <c r="V87" s="18" t="str">
        <f aca="false">IF(OR(M87="",IFERROR(INDEX(Staff!$B$4:$B$33,MATCH(M87,Staff!$A$4:$A$33,0)),"")=""),"",HYPERLINK("mailto:"&amp;IFERROR(INDEX(Staff!$B$4:$B$33,MATCH(M87,Staff!$A$4:$A$33,0)),"")&amp;"?subject="&amp;SUBSTITUTE(SUBSTITUTE(SUBSTITUTE(SUBSTITUTE(SUBSTITUTE("Enquiry "&amp;A87&amp;" allocated to you - "&amp;D87,"%","%25"),"&amp;","%26")," ","%20"),"#","%23"),CHAR(10),"%0A")&amp;"&amp;body="&amp;SUBSTITUTE(SUBSTITUTE(SUBSTITUTE(SUBSTITUTE(SUBSTITUTE("Ref: "&amp;A87&amp;CHAR(10)&amp;"Customer: "&amp;D87&amp;"  "&amp;E87&amp;CHAR(10)&amp;"Phone: "&amp;F87&amp;CHAR(10)&amp;"Email: "&amp;G87&amp;CHAR(10)&amp;"Prefers: "&amp;H87&amp;CHAR(10)&amp;"Enquiry: "&amp;LEFT(I87,600)&amp;CHAR(10)&amp;CHAR(10)&amp;"Sent from the Preston Mazda enquiry log.","%","%25"),"&amp;","%26")," ","%20"),"#","%23"),CHAR(10),"%0A"),"✉ Email "&amp;M87))</f>
        <v/>
      </c>
      <c r="W87" s="18" t="str">
        <f aca="false">IF(OR(P87="",IFERROR(INDEX(Staff!$E$4:$E$33,MATCH(P87,Staff!$D$4:$D$33,0)),"")=""),"",HYPERLINK("mailto:"&amp;IFERROR(INDEX(Staff!$E$4:$E$33,MATCH(P87,Staff!$D$4:$D$33,0)),"")&amp;"?subject="&amp;SUBSTITUTE(SUBSTITUTE(SUBSTITUTE(SUBSTITUTE(SUBSTITUTE("Parts quote "&amp;A87&amp;" allocated to you - "&amp;D87,"%","%25"),"&amp;","%26")," ","%20"),"#","%23"),CHAR(10),"%0A")&amp;"&amp;body="&amp;SUBSTITUTE(SUBSTITUTE(SUBSTITUTE(SUBSTITUTE(SUBSTITUTE("Ref: "&amp;A87&amp;CHAR(10)&amp;"Customer: "&amp;D87&amp;"  "&amp;E87&amp;CHAR(10)&amp;"Phone: "&amp;F87&amp;CHAR(10)&amp;"Email: "&amp;G87&amp;CHAR(10)&amp;"Prefers: "&amp;H87&amp;CHAR(10)&amp;"Enquiry: "&amp;LEFT(I87,600)&amp;CHAR(10)&amp;CHAR(10)&amp;"Sent from the Preston Mazda enquiry log.","%","%25"),"&amp;","%26")," ","%20"),"#","%23"),CHAR(10),"%0A"),"✉ Email "&amp;P87))</f>
        <v/>
      </c>
    </row>
    <row r="88" customFormat="false" ht="15" hidden="false" customHeight="false" outlineLevel="0" collapsed="false">
      <c r="A88" s="10" t="str">
        <f aca="false">IF(D88="","","E-"&amp;TEXT(ROW()-3,"0000"))</f>
        <v/>
      </c>
      <c r="B88" s="11"/>
      <c r="C88" s="12"/>
      <c r="D88" s="13"/>
      <c r="E88" s="14"/>
      <c r="F88" s="12"/>
      <c r="G88" s="12"/>
      <c r="H88" s="15"/>
      <c r="I88" s="16"/>
      <c r="J88" s="17" t="str">
        <f aca="false">IF(D88="","",HYPERLINK(Settings!$B$7&amp;A88&amp;".pdf","Open "&amp;A88&amp;".pdf"))</f>
        <v/>
      </c>
      <c r="K88" s="16"/>
      <c r="L88" s="12"/>
      <c r="M88" s="12"/>
      <c r="N88" s="15"/>
      <c r="O88" s="15"/>
      <c r="P88" s="12"/>
      <c r="Q88" s="15"/>
      <c r="R88" s="15"/>
      <c r="S88" s="15" t="str">
        <f aca="false">IF(D88="","",IF(AND(O88="Yes",OR(Q88&lt;&gt;"Yes",R88="Yes")),"Complete","Open"))</f>
        <v/>
      </c>
      <c r="T88" s="18" t="str">
        <f aca="false">IF(AND(Q88="Yes",R88&lt;&gt;"Yes"),HYPERLINK("mailto:"&amp;Settings!$B$5&amp;"?subject="&amp;SUBSTITUTE(SUBSTITUTE(SUBSTITUTE(SUBSTITUTE(SUBSTITUTE("Parts quote required - "&amp;D88&amp;" "&amp;E88,"%","%25"),"&amp;","%26")," ","%20"),"#","%23"),CHAR(10),"%0A")&amp;"&amp;body="&amp;SUBSTITUTE(SUBSTITUTE(SUBSTITUTE(SUBSTITUTE(SUBSTITUTE("Ref: "&amp;A88&amp;CHAR(10)&amp;"Customer: "&amp;D88&amp;"  "&amp;E88&amp;CHAR(10)&amp;"Phone: "&amp;F88&amp;CHAR(10)&amp;"Email: "&amp;G88&amp;CHAR(10)&amp;"Prefers: "&amp;H88&amp;CHAR(10)&amp;"Enquiry: "&amp;LEFT(I88,600)&amp;CHAR(10)&amp;CHAR(10)&amp;"Sent from the Preston Mazda enquiry log.","%","%25"),"&amp;","%26")," ","%20"),"#","%23"),CHAR(10),"%0A"),"✉ Email parts"),"")</f>
        <v/>
      </c>
      <c r="U88" s="18" t="str">
        <f aca="false">IF(AND(N88="Yes",O88&lt;&gt;"Yes"),HYPERLINK("mailto:"&amp;Settings!$B$6&amp;"?subject="&amp;SUBSTITUTE(SUBSTITUTE(SUBSTITUTE(SUBSTITUTE(SUBSTITUTE("Customer contact required - "&amp;D88&amp;" "&amp;E88,"%","%25"),"&amp;","%26")," ","%20"),"#","%23"),CHAR(10),"%0A")&amp;"&amp;body="&amp;SUBSTITUTE(SUBSTITUTE(SUBSTITUTE(SUBSTITUTE(SUBSTITUTE("Ref: "&amp;A88&amp;CHAR(10)&amp;"Customer: "&amp;D88&amp;"  "&amp;E88&amp;CHAR(10)&amp;"Phone: "&amp;F88&amp;CHAR(10)&amp;"Email: "&amp;G88&amp;CHAR(10)&amp;"Prefers: "&amp;H88&amp;CHAR(10)&amp;"Enquiry: "&amp;LEFT(I88,600)&amp;CHAR(10)&amp;CHAR(10)&amp;"Sent from the Preston Mazda enquiry log.","%","%25"),"&amp;","%26")," ","%20"),"#","%23"),CHAR(10),"%0A"),"✉ Email advisors"),"")</f>
        <v/>
      </c>
      <c r="V88" s="18" t="str">
        <f aca="false">IF(OR(M88="",IFERROR(INDEX(Staff!$B$4:$B$33,MATCH(M88,Staff!$A$4:$A$33,0)),"")=""),"",HYPERLINK("mailto:"&amp;IFERROR(INDEX(Staff!$B$4:$B$33,MATCH(M88,Staff!$A$4:$A$33,0)),"")&amp;"?subject="&amp;SUBSTITUTE(SUBSTITUTE(SUBSTITUTE(SUBSTITUTE(SUBSTITUTE("Enquiry "&amp;A88&amp;" allocated to you - "&amp;D88,"%","%25"),"&amp;","%26")," ","%20"),"#","%23"),CHAR(10),"%0A")&amp;"&amp;body="&amp;SUBSTITUTE(SUBSTITUTE(SUBSTITUTE(SUBSTITUTE(SUBSTITUTE("Ref: "&amp;A88&amp;CHAR(10)&amp;"Customer: "&amp;D88&amp;"  "&amp;E88&amp;CHAR(10)&amp;"Phone: "&amp;F88&amp;CHAR(10)&amp;"Email: "&amp;G88&amp;CHAR(10)&amp;"Prefers: "&amp;H88&amp;CHAR(10)&amp;"Enquiry: "&amp;LEFT(I88,600)&amp;CHAR(10)&amp;CHAR(10)&amp;"Sent from the Preston Mazda enquiry log.","%","%25"),"&amp;","%26")," ","%20"),"#","%23"),CHAR(10),"%0A"),"✉ Email "&amp;M88))</f>
        <v/>
      </c>
      <c r="W88" s="18" t="str">
        <f aca="false">IF(OR(P88="",IFERROR(INDEX(Staff!$E$4:$E$33,MATCH(P88,Staff!$D$4:$D$33,0)),"")=""),"",HYPERLINK("mailto:"&amp;IFERROR(INDEX(Staff!$E$4:$E$33,MATCH(P88,Staff!$D$4:$D$33,0)),"")&amp;"?subject="&amp;SUBSTITUTE(SUBSTITUTE(SUBSTITUTE(SUBSTITUTE(SUBSTITUTE("Parts quote "&amp;A88&amp;" allocated to you - "&amp;D88,"%","%25"),"&amp;","%26")," ","%20"),"#","%23"),CHAR(10),"%0A")&amp;"&amp;body="&amp;SUBSTITUTE(SUBSTITUTE(SUBSTITUTE(SUBSTITUTE(SUBSTITUTE("Ref: "&amp;A88&amp;CHAR(10)&amp;"Customer: "&amp;D88&amp;"  "&amp;E88&amp;CHAR(10)&amp;"Phone: "&amp;F88&amp;CHAR(10)&amp;"Email: "&amp;G88&amp;CHAR(10)&amp;"Prefers: "&amp;H88&amp;CHAR(10)&amp;"Enquiry: "&amp;LEFT(I88,600)&amp;CHAR(10)&amp;CHAR(10)&amp;"Sent from the Preston Mazda enquiry log.","%","%25"),"&amp;","%26")," ","%20"),"#","%23"),CHAR(10),"%0A"),"✉ Email "&amp;P88))</f>
        <v/>
      </c>
    </row>
    <row r="89" customFormat="false" ht="15" hidden="false" customHeight="false" outlineLevel="0" collapsed="false">
      <c r="A89" s="10" t="str">
        <f aca="false">IF(D89="","","E-"&amp;TEXT(ROW()-3,"0000"))</f>
        <v/>
      </c>
      <c r="B89" s="11"/>
      <c r="C89" s="12"/>
      <c r="D89" s="13"/>
      <c r="E89" s="14"/>
      <c r="F89" s="12"/>
      <c r="G89" s="12"/>
      <c r="H89" s="15"/>
      <c r="I89" s="16"/>
      <c r="J89" s="17" t="str">
        <f aca="false">IF(D89="","",HYPERLINK(Settings!$B$7&amp;A89&amp;".pdf","Open "&amp;A89&amp;".pdf"))</f>
        <v/>
      </c>
      <c r="K89" s="16"/>
      <c r="L89" s="12"/>
      <c r="M89" s="12"/>
      <c r="N89" s="15"/>
      <c r="O89" s="15"/>
      <c r="P89" s="12"/>
      <c r="Q89" s="15"/>
      <c r="R89" s="15"/>
      <c r="S89" s="15" t="str">
        <f aca="false">IF(D89="","",IF(AND(O89="Yes",OR(Q89&lt;&gt;"Yes",R89="Yes")),"Complete","Open"))</f>
        <v/>
      </c>
      <c r="T89" s="18" t="str">
        <f aca="false">IF(AND(Q89="Yes",R89&lt;&gt;"Yes"),HYPERLINK("mailto:"&amp;Settings!$B$5&amp;"?subject="&amp;SUBSTITUTE(SUBSTITUTE(SUBSTITUTE(SUBSTITUTE(SUBSTITUTE("Parts quote required - "&amp;D89&amp;" "&amp;E89,"%","%25"),"&amp;","%26")," ","%20"),"#","%23"),CHAR(10),"%0A")&amp;"&amp;body="&amp;SUBSTITUTE(SUBSTITUTE(SUBSTITUTE(SUBSTITUTE(SUBSTITUTE("Ref: "&amp;A89&amp;CHAR(10)&amp;"Customer: "&amp;D89&amp;"  "&amp;E89&amp;CHAR(10)&amp;"Phone: "&amp;F89&amp;CHAR(10)&amp;"Email: "&amp;G89&amp;CHAR(10)&amp;"Prefers: "&amp;H89&amp;CHAR(10)&amp;"Enquiry: "&amp;LEFT(I89,600)&amp;CHAR(10)&amp;CHAR(10)&amp;"Sent from the Preston Mazda enquiry log.","%","%25"),"&amp;","%26")," ","%20"),"#","%23"),CHAR(10),"%0A"),"✉ Email parts"),"")</f>
        <v/>
      </c>
      <c r="U89" s="18" t="str">
        <f aca="false">IF(AND(N89="Yes",O89&lt;&gt;"Yes"),HYPERLINK("mailto:"&amp;Settings!$B$6&amp;"?subject="&amp;SUBSTITUTE(SUBSTITUTE(SUBSTITUTE(SUBSTITUTE(SUBSTITUTE("Customer contact required - "&amp;D89&amp;" "&amp;E89,"%","%25"),"&amp;","%26")," ","%20"),"#","%23"),CHAR(10),"%0A")&amp;"&amp;body="&amp;SUBSTITUTE(SUBSTITUTE(SUBSTITUTE(SUBSTITUTE(SUBSTITUTE("Ref: "&amp;A89&amp;CHAR(10)&amp;"Customer: "&amp;D89&amp;"  "&amp;E89&amp;CHAR(10)&amp;"Phone: "&amp;F89&amp;CHAR(10)&amp;"Email: "&amp;G89&amp;CHAR(10)&amp;"Prefers: "&amp;H89&amp;CHAR(10)&amp;"Enquiry: "&amp;LEFT(I89,600)&amp;CHAR(10)&amp;CHAR(10)&amp;"Sent from the Preston Mazda enquiry log.","%","%25"),"&amp;","%26")," ","%20"),"#","%23"),CHAR(10),"%0A"),"✉ Email advisors"),"")</f>
        <v/>
      </c>
      <c r="V89" s="18" t="str">
        <f aca="false">IF(OR(M89="",IFERROR(INDEX(Staff!$B$4:$B$33,MATCH(M89,Staff!$A$4:$A$33,0)),"")=""),"",HYPERLINK("mailto:"&amp;IFERROR(INDEX(Staff!$B$4:$B$33,MATCH(M89,Staff!$A$4:$A$33,0)),"")&amp;"?subject="&amp;SUBSTITUTE(SUBSTITUTE(SUBSTITUTE(SUBSTITUTE(SUBSTITUTE("Enquiry "&amp;A89&amp;" allocated to you - "&amp;D89,"%","%25"),"&amp;","%26")," ","%20"),"#","%23"),CHAR(10),"%0A")&amp;"&amp;body="&amp;SUBSTITUTE(SUBSTITUTE(SUBSTITUTE(SUBSTITUTE(SUBSTITUTE("Ref: "&amp;A89&amp;CHAR(10)&amp;"Customer: "&amp;D89&amp;"  "&amp;E89&amp;CHAR(10)&amp;"Phone: "&amp;F89&amp;CHAR(10)&amp;"Email: "&amp;G89&amp;CHAR(10)&amp;"Prefers: "&amp;H89&amp;CHAR(10)&amp;"Enquiry: "&amp;LEFT(I89,600)&amp;CHAR(10)&amp;CHAR(10)&amp;"Sent from the Preston Mazda enquiry log.","%","%25"),"&amp;","%26")," ","%20"),"#","%23"),CHAR(10),"%0A"),"✉ Email "&amp;M89))</f>
        <v/>
      </c>
      <c r="W89" s="18" t="str">
        <f aca="false">IF(OR(P89="",IFERROR(INDEX(Staff!$E$4:$E$33,MATCH(P89,Staff!$D$4:$D$33,0)),"")=""),"",HYPERLINK("mailto:"&amp;IFERROR(INDEX(Staff!$E$4:$E$33,MATCH(P89,Staff!$D$4:$D$33,0)),"")&amp;"?subject="&amp;SUBSTITUTE(SUBSTITUTE(SUBSTITUTE(SUBSTITUTE(SUBSTITUTE("Parts quote "&amp;A89&amp;" allocated to you - "&amp;D89,"%","%25"),"&amp;","%26")," ","%20"),"#","%23"),CHAR(10),"%0A")&amp;"&amp;body="&amp;SUBSTITUTE(SUBSTITUTE(SUBSTITUTE(SUBSTITUTE(SUBSTITUTE("Ref: "&amp;A89&amp;CHAR(10)&amp;"Customer: "&amp;D89&amp;"  "&amp;E89&amp;CHAR(10)&amp;"Phone: "&amp;F89&amp;CHAR(10)&amp;"Email: "&amp;G89&amp;CHAR(10)&amp;"Prefers: "&amp;H89&amp;CHAR(10)&amp;"Enquiry: "&amp;LEFT(I89,600)&amp;CHAR(10)&amp;CHAR(10)&amp;"Sent from the Preston Mazda enquiry log.","%","%25"),"&amp;","%26")," ","%20"),"#","%23"),CHAR(10),"%0A"),"✉ Email "&amp;P89))</f>
        <v/>
      </c>
    </row>
    <row r="90" customFormat="false" ht="15" hidden="false" customHeight="false" outlineLevel="0" collapsed="false">
      <c r="A90" s="10" t="str">
        <f aca="false">IF(D90="","","E-"&amp;TEXT(ROW()-3,"0000"))</f>
        <v/>
      </c>
      <c r="B90" s="11"/>
      <c r="C90" s="12"/>
      <c r="D90" s="13"/>
      <c r="E90" s="14"/>
      <c r="F90" s="12"/>
      <c r="G90" s="12"/>
      <c r="H90" s="15"/>
      <c r="I90" s="16"/>
      <c r="J90" s="17" t="str">
        <f aca="false">IF(D90="","",HYPERLINK(Settings!$B$7&amp;A90&amp;".pdf","Open "&amp;A90&amp;".pdf"))</f>
        <v/>
      </c>
      <c r="K90" s="16"/>
      <c r="L90" s="12"/>
      <c r="M90" s="12"/>
      <c r="N90" s="15"/>
      <c r="O90" s="15"/>
      <c r="P90" s="12"/>
      <c r="Q90" s="15"/>
      <c r="R90" s="15"/>
      <c r="S90" s="15" t="str">
        <f aca="false">IF(D90="","",IF(AND(O90="Yes",OR(Q90&lt;&gt;"Yes",R90="Yes")),"Complete","Open"))</f>
        <v/>
      </c>
      <c r="T90" s="18" t="str">
        <f aca="false">IF(AND(Q90="Yes",R90&lt;&gt;"Yes"),HYPERLINK("mailto:"&amp;Settings!$B$5&amp;"?subject="&amp;SUBSTITUTE(SUBSTITUTE(SUBSTITUTE(SUBSTITUTE(SUBSTITUTE("Parts quote required - "&amp;D90&amp;" "&amp;E90,"%","%25"),"&amp;","%26")," ","%20"),"#","%23"),CHAR(10),"%0A")&amp;"&amp;body="&amp;SUBSTITUTE(SUBSTITUTE(SUBSTITUTE(SUBSTITUTE(SUBSTITUTE("Ref: "&amp;A90&amp;CHAR(10)&amp;"Customer: "&amp;D90&amp;"  "&amp;E90&amp;CHAR(10)&amp;"Phone: "&amp;F90&amp;CHAR(10)&amp;"Email: "&amp;G90&amp;CHAR(10)&amp;"Prefers: "&amp;H90&amp;CHAR(10)&amp;"Enquiry: "&amp;LEFT(I90,600)&amp;CHAR(10)&amp;CHAR(10)&amp;"Sent from the Preston Mazda enquiry log.","%","%25"),"&amp;","%26")," ","%20"),"#","%23"),CHAR(10),"%0A"),"✉ Email parts"),"")</f>
        <v/>
      </c>
      <c r="U90" s="18" t="str">
        <f aca="false">IF(AND(N90="Yes",O90&lt;&gt;"Yes"),HYPERLINK("mailto:"&amp;Settings!$B$6&amp;"?subject="&amp;SUBSTITUTE(SUBSTITUTE(SUBSTITUTE(SUBSTITUTE(SUBSTITUTE("Customer contact required - "&amp;D90&amp;" "&amp;E90,"%","%25"),"&amp;","%26")," ","%20"),"#","%23"),CHAR(10),"%0A")&amp;"&amp;body="&amp;SUBSTITUTE(SUBSTITUTE(SUBSTITUTE(SUBSTITUTE(SUBSTITUTE("Ref: "&amp;A90&amp;CHAR(10)&amp;"Customer: "&amp;D90&amp;"  "&amp;E90&amp;CHAR(10)&amp;"Phone: "&amp;F90&amp;CHAR(10)&amp;"Email: "&amp;G90&amp;CHAR(10)&amp;"Prefers: "&amp;H90&amp;CHAR(10)&amp;"Enquiry: "&amp;LEFT(I90,600)&amp;CHAR(10)&amp;CHAR(10)&amp;"Sent from the Preston Mazda enquiry log.","%","%25"),"&amp;","%26")," ","%20"),"#","%23"),CHAR(10),"%0A"),"✉ Email advisors"),"")</f>
        <v/>
      </c>
      <c r="V90" s="18" t="str">
        <f aca="false">IF(OR(M90="",IFERROR(INDEX(Staff!$B$4:$B$33,MATCH(M90,Staff!$A$4:$A$33,0)),"")=""),"",HYPERLINK("mailto:"&amp;IFERROR(INDEX(Staff!$B$4:$B$33,MATCH(M90,Staff!$A$4:$A$33,0)),"")&amp;"?subject="&amp;SUBSTITUTE(SUBSTITUTE(SUBSTITUTE(SUBSTITUTE(SUBSTITUTE("Enquiry "&amp;A90&amp;" allocated to you - "&amp;D90,"%","%25"),"&amp;","%26")," ","%20"),"#","%23"),CHAR(10),"%0A")&amp;"&amp;body="&amp;SUBSTITUTE(SUBSTITUTE(SUBSTITUTE(SUBSTITUTE(SUBSTITUTE("Ref: "&amp;A90&amp;CHAR(10)&amp;"Customer: "&amp;D90&amp;"  "&amp;E90&amp;CHAR(10)&amp;"Phone: "&amp;F90&amp;CHAR(10)&amp;"Email: "&amp;G90&amp;CHAR(10)&amp;"Prefers: "&amp;H90&amp;CHAR(10)&amp;"Enquiry: "&amp;LEFT(I90,600)&amp;CHAR(10)&amp;CHAR(10)&amp;"Sent from the Preston Mazda enquiry log.","%","%25"),"&amp;","%26")," ","%20"),"#","%23"),CHAR(10),"%0A"),"✉ Email "&amp;M90))</f>
        <v/>
      </c>
      <c r="W90" s="18" t="str">
        <f aca="false">IF(OR(P90="",IFERROR(INDEX(Staff!$E$4:$E$33,MATCH(P90,Staff!$D$4:$D$33,0)),"")=""),"",HYPERLINK("mailto:"&amp;IFERROR(INDEX(Staff!$E$4:$E$33,MATCH(P90,Staff!$D$4:$D$33,0)),"")&amp;"?subject="&amp;SUBSTITUTE(SUBSTITUTE(SUBSTITUTE(SUBSTITUTE(SUBSTITUTE("Parts quote "&amp;A90&amp;" allocated to you - "&amp;D90,"%","%25"),"&amp;","%26")," ","%20"),"#","%23"),CHAR(10),"%0A")&amp;"&amp;body="&amp;SUBSTITUTE(SUBSTITUTE(SUBSTITUTE(SUBSTITUTE(SUBSTITUTE("Ref: "&amp;A90&amp;CHAR(10)&amp;"Customer: "&amp;D90&amp;"  "&amp;E90&amp;CHAR(10)&amp;"Phone: "&amp;F90&amp;CHAR(10)&amp;"Email: "&amp;G90&amp;CHAR(10)&amp;"Prefers: "&amp;H90&amp;CHAR(10)&amp;"Enquiry: "&amp;LEFT(I90,600)&amp;CHAR(10)&amp;CHAR(10)&amp;"Sent from the Preston Mazda enquiry log.","%","%25"),"&amp;","%26")," ","%20"),"#","%23"),CHAR(10),"%0A"),"✉ Email "&amp;P90))</f>
        <v/>
      </c>
    </row>
    <row r="91" customFormat="false" ht="15" hidden="false" customHeight="false" outlineLevel="0" collapsed="false">
      <c r="A91" s="10" t="str">
        <f aca="false">IF(D91="","","E-"&amp;TEXT(ROW()-3,"0000"))</f>
        <v/>
      </c>
      <c r="B91" s="11"/>
      <c r="C91" s="12"/>
      <c r="D91" s="13"/>
      <c r="E91" s="14"/>
      <c r="F91" s="12"/>
      <c r="G91" s="12"/>
      <c r="H91" s="15"/>
      <c r="I91" s="16"/>
      <c r="J91" s="17" t="str">
        <f aca="false">IF(D91="","",HYPERLINK(Settings!$B$7&amp;A91&amp;".pdf","Open "&amp;A91&amp;".pdf"))</f>
        <v/>
      </c>
      <c r="K91" s="16"/>
      <c r="L91" s="12"/>
      <c r="M91" s="12"/>
      <c r="N91" s="15"/>
      <c r="O91" s="15"/>
      <c r="P91" s="12"/>
      <c r="Q91" s="15"/>
      <c r="R91" s="15"/>
      <c r="S91" s="15" t="str">
        <f aca="false">IF(D91="","",IF(AND(O91="Yes",OR(Q91&lt;&gt;"Yes",R91="Yes")),"Complete","Open"))</f>
        <v/>
      </c>
      <c r="T91" s="18" t="str">
        <f aca="false">IF(AND(Q91="Yes",R91&lt;&gt;"Yes"),HYPERLINK("mailto:"&amp;Settings!$B$5&amp;"?subject="&amp;SUBSTITUTE(SUBSTITUTE(SUBSTITUTE(SUBSTITUTE(SUBSTITUTE("Parts quote required - "&amp;D91&amp;" "&amp;E91,"%","%25"),"&amp;","%26")," ","%20"),"#","%23"),CHAR(10),"%0A")&amp;"&amp;body="&amp;SUBSTITUTE(SUBSTITUTE(SUBSTITUTE(SUBSTITUTE(SUBSTITUTE("Ref: "&amp;A91&amp;CHAR(10)&amp;"Customer: "&amp;D91&amp;"  "&amp;E91&amp;CHAR(10)&amp;"Phone: "&amp;F91&amp;CHAR(10)&amp;"Email: "&amp;G91&amp;CHAR(10)&amp;"Prefers: "&amp;H91&amp;CHAR(10)&amp;"Enquiry: "&amp;LEFT(I91,600)&amp;CHAR(10)&amp;CHAR(10)&amp;"Sent from the Preston Mazda enquiry log.","%","%25"),"&amp;","%26")," ","%20"),"#","%23"),CHAR(10),"%0A"),"✉ Email parts"),"")</f>
        <v/>
      </c>
      <c r="U91" s="18" t="str">
        <f aca="false">IF(AND(N91="Yes",O91&lt;&gt;"Yes"),HYPERLINK("mailto:"&amp;Settings!$B$6&amp;"?subject="&amp;SUBSTITUTE(SUBSTITUTE(SUBSTITUTE(SUBSTITUTE(SUBSTITUTE("Customer contact required - "&amp;D91&amp;" "&amp;E91,"%","%25"),"&amp;","%26")," ","%20"),"#","%23"),CHAR(10),"%0A")&amp;"&amp;body="&amp;SUBSTITUTE(SUBSTITUTE(SUBSTITUTE(SUBSTITUTE(SUBSTITUTE("Ref: "&amp;A91&amp;CHAR(10)&amp;"Customer: "&amp;D91&amp;"  "&amp;E91&amp;CHAR(10)&amp;"Phone: "&amp;F91&amp;CHAR(10)&amp;"Email: "&amp;G91&amp;CHAR(10)&amp;"Prefers: "&amp;H91&amp;CHAR(10)&amp;"Enquiry: "&amp;LEFT(I91,600)&amp;CHAR(10)&amp;CHAR(10)&amp;"Sent from the Preston Mazda enquiry log.","%","%25"),"&amp;","%26")," ","%20"),"#","%23"),CHAR(10),"%0A"),"✉ Email advisors"),"")</f>
        <v/>
      </c>
      <c r="V91" s="18" t="str">
        <f aca="false">IF(OR(M91="",IFERROR(INDEX(Staff!$B$4:$B$33,MATCH(M91,Staff!$A$4:$A$33,0)),"")=""),"",HYPERLINK("mailto:"&amp;IFERROR(INDEX(Staff!$B$4:$B$33,MATCH(M91,Staff!$A$4:$A$33,0)),"")&amp;"?subject="&amp;SUBSTITUTE(SUBSTITUTE(SUBSTITUTE(SUBSTITUTE(SUBSTITUTE("Enquiry "&amp;A91&amp;" allocated to you - "&amp;D91,"%","%25"),"&amp;","%26")," ","%20"),"#","%23"),CHAR(10),"%0A")&amp;"&amp;body="&amp;SUBSTITUTE(SUBSTITUTE(SUBSTITUTE(SUBSTITUTE(SUBSTITUTE("Ref: "&amp;A91&amp;CHAR(10)&amp;"Customer: "&amp;D91&amp;"  "&amp;E91&amp;CHAR(10)&amp;"Phone: "&amp;F91&amp;CHAR(10)&amp;"Email: "&amp;G91&amp;CHAR(10)&amp;"Prefers: "&amp;H91&amp;CHAR(10)&amp;"Enquiry: "&amp;LEFT(I91,600)&amp;CHAR(10)&amp;CHAR(10)&amp;"Sent from the Preston Mazda enquiry log.","%","%25"),"&amp;","%26")," ","%20"),"#","%23"),CHAR(10),"%0A"),"✉ Email "&amp;M91))</f>
        <v/>
      </c>
      <c r="W91" s="18" t="str">
        <f aca="false">IF(OR(P91="",IFERROR(INDEX(Staff!$E$4:$E$33,MATCH(P91,Staff!$D$4:$D$33,0)),"")=""),"",HYPERLINK("mailto:"&amp;IFERROR(INDEX(Staff!$E$4:$E$33,MATCH(P91,Staff!$D$4:$D$33,0)),"")&amp;"?subject="&amp;SUBSTITUTE(SUBSTITUTE(SUBSTITUTE(SUBSTITUTE(SUBSTITUTE("Parts quote "&amp;A91&amp;" allocated to you - "&amp;D91,"%","%25"),"&amp;","%26")," ","%20"),"#","%23"),CHAR(10),"%0A")&amp;"&amp;body="&amp;SUBSTITUTE(SUBSTITUTE(SUBSTITUTE(SUBSTITUTE(SUBSTITUTE("Ref: "&amp;A91&amp;CHAR(10)&amp;"Customer: "&amp;D91&amp;"  "&amp;E91&amp;CHAR(10)&amp;"Phone: "&amp;F91&amp;CHAR(10)&amp;"Email: "&amp;G91&amp;CHAR(10)&amp;"Prefers: "&amp;H91&amp;CHAR(10)&amp;"Enquiry: "&amp;LEFT(I91,600)&amp;CHAR(10)&amp;CHAR(10)&amp;"Sent from the Preston Mazda enquiry log.","%","%25"),"&amp;","%26")," ","%20"),"#","%23"),CHAR(10),"%0A"),"✉ Email "&amp;P91))</f>
        <v/>
      </c>
    </row>
    <row r="92" customFormat="false" ht="15" hidden="false" customHeight="false" outlineLevel="0" collapsed="false">
      <c r="A92" s="10" t="str">
        <f aca="false">IF(D92="","","E-"&amp;TEXT(ROW()-3,"0000"))</f>
        <v/>
      </c>
      <c r="B92" s="11"/>
      <c r="C92" s="12"/>
      <c r="D92" s="13"/>
      <c r="E92" s="14"/>
      <c r="F92" s="12"/>
      <c r="G92" s="12"/>
      <c r="H92" s="15"/>
      <c r="I92" s="16"/>
      <c r="J92" s="17" t="str">
        <f aca="false">IF(D92="","",HYPERLINK(Settings!$B$7&amp;A92&amp;".pdf","Open "&amp;A92&amp;".pdf"))</f>
        <v/>
      </c>
      <c r="K92" s="16"/>
      <c r="L92" s="12"/>
      <c r="M92" s="12"/>
      <c r="N92" s="15"/>
      <c r="O92" s="15"/>
      <c r="P92" s="12"/>
      <c r="Q92" s="15"/>
      <c r="R92" s="15"/>
      <c r="S92" s="15" t="str">
        <f aca="false">IF(D92="","",IF(AND(O92="Yes",OR(Q92&lt;&gt;"Yes",R92="Yes")),"Complete","Open"))</f>
        <v/>
      </c>
      <c r="T92" s="18" t="str">
        <f aca="false">IF(AND(Q92="Yes",R92&lt;&gt;"Yes"),HYPERLINK("mailto:"&amp;Settings!$B$5&amp;"?subject="&amp;SUBSTITUTE(SUBSTITUTE(SUBSTITUTE(SUBSTITUTE(SUBSTITUTE("Parts quote required - "&amp;D92&amp;" "&amp;E92,"%","%25"),"&amp;","%26")," ","%20"),"#","%23"),CHAR(10),"%0A")&amp;"&amp;body="&amp;SUBSTITUTE(SUBSTITUTE(SUBSTITUTE(SUBSTITUTE(SUBSTITUTE("Ref: "&amp;A92&amp;CHAR(10)&amp;"Customer: "&amp;D92&amp;"  "&amp;E92&amp;CHAR(10)&amp;"Phone: "&amp;F92&amp;CHAR(10)&amp;"Email: "&amp;G92&amp;CHAR(10)&amp;"Prefers: "&amp;H92&amp;CHAR(10)&amp;"Enquiry: "&amp;LEFT(I92,600)&amp;CHAR(10)&amp;CHAR(10)&amp;"Sent from the Preston Mazda enquiry log.","%","%25"),"&amp;","%26")," ","%20"),"#","%23"),CHAR(10),"%0A"),"✉ Email parts"),"")</f>
        <v/>
      </c>
      <c r="U92" s="18" t="str">
        <f aca="false">IF(AND(N92="Yes",O92&lt;&gt;"Yes"),HYPERLINK("mailto:"&amp;Settings!$B$6&amp;"?subject="&amp;SUBSTITUTE(SUBSTITUTE(SUBSTITUTE(SUBSTITUTE(SUBSTITUTE("Customer contact required - "&amp;D92&amp;" "&amp;E92,"%","%25"),"&amp;","%26")," ","%20"),"#","%23"),CHAR(10),"%0A")&amp;"&amp;body="&amp;SUBSTITUTE(SUBSTITUTE(SUBSTITUTE(SUBSTITUTE(SUBSTITUTE("Ref: "&amp;A92&amp;CHAR(10)&amp;"Customer: "&amp;D92&amp;"  "&amp;E92&amp;CHAR(10)&amp;"Phone: "&amp;F92&amp;CHAR(10)&amp;"Email: "&amp;G92&amp;CHAR(10)&amp;"Prefers: "&amp;H92&amp;CHAR(10)&amp;"Enquiry: "&amp;LEFT(I92,600)&amp;CHAR(10)&amp;CHAR(10)&amp;"Sent from the Preston Mazda enquiry log.","%","%25"),"&amp;","%26")," ","%20"),"#","%23"),CHAR(10),"%0A"),"✉ Email advisors"),"")</f>
        <v/>
      </c>
      <c r="V92" s="18" t="str">
        <f aca="false">IF(OR(M92="",IFERROR(INDEX(Staff!$B$4:$B$33,MATCH(M92,Staff!$A$4:$A$33,0)),"")=""),"",HYPERLINK("mailto:"&amp;IFERROR(INDEX(Staff!$B$4:$B$33,MATCH(M92,Staff!$A$4:$A$33,0)),"")&amp;"?subject="&amp;SUBSTITUTE(SUBSTITUTE(SUBSTITUTE(SUBSTITUTE(SUBSTITUTE("Enquiry "&amp;A92&amp;" allocated to you - "&amp;D92,"%","%25"),"&amp;","%26")," ","%20"),"#","%23"),CHAR(10),"%0A")&amp;"&amp;body="&amp;SUBSTITUTE(SUBSTITUTE(SUBSTITUTE(SUBSTITUTE(SUBSTITUTE("Ref: "&amp;A92&amp;CHAR(10)&amp;"Customer: "&amp;D92&amp;"  "&amp;E92&amp;CHAR(10)&amp;"Phone: "&amp;F92&amp;CHAR(10)&amp;"Email: "&amp;G92&amp;CHAR(10)&amp;"Prefers: "&amp;H92&amp;CHAR(10)&amp;"Enquiry: "&amp;LEFT(I92,600)&amp;CHAR(10)&amp;CHAR(10)&amp;"Sent from the Preston Mazda enquiry log.","%","%25"),"&amp;","%26")," ","%20"),"#","%23"),CHAR(10),"%0A"),"✉ Email "&amp;M92))</f>
        <v/>
      </c>
      <c r="W92" s="18" t="str">
        <f aca="false">IF(OR(P92="",IFERROR(INDEX(Staff!$E$4:$E$33,MATCH(P92,Staff!$D$4:$D$33,0)),"")=""),"",HYPERLINK("mailto:"&amp;IFERROR(INDEX(Staff!$E$4:$E$33,MATCH(P92,Staff!$D$4:$D$33,0)),"")&amp;"?subject="&amp;SUBSTITUTE(SUBSTITUTE(SUBSTITUTE(SUBSTITUTE(SUBSTITUTE("Parts quote "&amp;A92&amp;" allocated to you - "&amp;D92,"%","%25"),"&amp;","%26")," ","%20"),"#","%23"),CHAR(10),"%0A")&amp;"&amp;body="&amp;SUBSTITUTE(SUBSTITUTE(SUBSTITUTE(SUBSTITUTE(SUBSTITUTE("Ref: "&amp;A92&amp;CHAR(10)&amp;"Customer: "&amp;D92&amp;"  "&amp;E92&amp;CHAR(10)&amp;"Phone: "&amp;F92&amp;CHAR(10)&amp;"Email: "&amp;G92&amp;CHAR(10)&amp;"Prefers: "&amp;H92&amp;CHAR(10)&amp;"Enquiry: "&amp;LEFT(I92,600)&amp;CHAR(10)&amp;CHAR(10)&amp;"Sent from the Preston Mazda enquiry log.","%","%25"),"&amp;","%26")," ","%20"),"#","%23"),CHAR(10),"%0A"),"✉ Email "&amp;P92))</f>
        <v/>
      </c>
    </row>
    <row r="93" customFormat="false" ht="15" hidden="false" customHeight="false" outlineLevel="0" collapsed="false">
      <c r="A93" s="10" t="str">
        <f aca="false">IF(D93="","","E-"&amp;TEXT(ROW()-3,"0000"))</f>
        <v/>
      </c>
      <c r="B93" s="11"/>
      <c r="C93" s="12"/>
      <c r="D93" s="13"/>
      <c r="E93" s="14"/>
      <c r="F93" s="12"/>
      <c r="G93" s="12"/>
      <c r="H93" s="15"/>
      <c r="I93" s="16"/>
      <c r="J93" s="17" t="str">
        <f aca="false">IF(D93="","",HYPERLINK(Settings!$B$7&amp;A93&amp;".pdf","Open "&amp;A93&amp;".pdf"))</f>
        <v/>
      </c>
      <c r="K93" s="16"/>
      <c r="L93" s="12"/>
      <c r="M93" s="12"/>
      <c r="N93" s="15"/>
      <c r="O93" s="15"/>
      <c r="P93" s="12"/>
      <c r="Q93" s="15"/>
      <c r="R93" s="15"/>
      <c r="S93" s="15" t="str">
        <f aca="false">IF(D93="","",IF(AND(O93="Yes",OR(Q93&lt;&gt;"Yes",R93="Yes")),"Complete","Open"))</f>
        <v/>
      </c>
      <c r="T93" s="18" t="str">
        <f aca="false">IF(AND(Q93="Yes",R93&lt;&gt;"Yes"),HYPERLINK("mailto:"&amp;Settings!$B$5&amp;"?subject="&amp;SUBSTITUTE(SUBSTITUTE(SUBSTITUTE(SUBSTITUTE(SUBSTITUTE("Parts quote required - "&amp;D93&amp;" "&amp;E93,"%","%25"),"&amp;","%26")," ","%20"),"#","%23"),CHAR(10),"%0A")&amp;"&amp;body="&amp;SUBSTITUTE(SUBSTITUTE(SUBSTITUTE(SUBSTITUTE(SUBSTITUTE("Ref: "&amp;A93&amp;CHAR(10)&amp;"Customer: "&amp;D93&amp;"  "&amp;E93&amp;CHAR(10)&amp;"Phone: "&amp;F93&amp;CHAR(10)&amp;"Email: "&amp;G93&amp;CHAR(10)&amp;"Prefers: "&amp;H93&amp;CHAR(10)&amp;"Enquiry: "&amp;LEFT(I93,600)&amp;CHAR(10)&amp;CHAR(10)&amp;"Sent from the Preston Mazda enquiry log.","%","%25"),"&amp;","%26")," ","%20"),"#","%23"),CHAR(10),"%0A"),"✉ Email parts"),"")</f>
        <v/>
      </c>
      <c r="U93" s="18" t="str">
        <f aca="false">IF(AND(N93="Yes",O93&lt;&gt;"Yes"),HYPERLINK("mailto:"&amp;Settings!$B$6&amp;"?subject="&amp;SUBSTITUTE(SUBSTITUTE(SUBSTITUTE(SUBSTITUTE(SUBSTITUTE("Customer contact required - "&amp;D93&amp;" "&amp;E93,"%","%25"),"&amp;","%26")," ","%20"),"#","%23"),CHAR(10),"%0A")&amp;"&amp;body="&amp;SUBSTITUTE(SUBSTITUTE(SUBSTITUTE(SUBSTITUTE(SUBSTITUTE("Ref: "&amp;A93&amp;CHAR(10)&amp;"Customer: "&amp;D93&amp;"  "&amp;E93&amp;CHAR(10)&amp;"Phone: "&amp;F93&amp;CHAR(10)&amp;"Email: "&amp;G93&amp;CHAR(10)&amp;"Prefers: "&amp;H93&amp;CHAR(10)&amp;"Enquiry: "&amp;LEFT(I93,600)&amp;CHAR(10)&amp;CHAR(10)&amp;"Sent from the Preston Mazda enquiry log.","%","%25"),"&amp;","%26")," ","%20"),"#","%23"),CHAR(10),"%0A"),"✉ Email advisors"),"")</f>
        <v/>
      </c>
      <c r="V93" s="18" t="str">
        <f aca="false">IF(OR(M93="",IFERROR(INDEX(Staff!$B$4:$B$33,MATCH(M93,Staff!$A$4:$A$33,0)),"")=""),"",HYPERLINK("mailto:"&amp;IFERROR(INDEX(Staff!$B$4:$B$33,MATCH(M93,Staff!$A$4:$A$33,0)),"")&amp;"?subject="&amp;SUBSTITUTE(SUBSTITUTE(SUBSTITUTE(SUBSTITUTE(SUBSTITUTE("Enquiry "&amp;A93&amp;" allocated to you - "&amp;D93,"%","%25"),"&amp;","%26")," ","%20"),"#","%23"),CHAR(10),"%0A")&amp;"&amp;body="&amp;SUBSTITUTE(SUBSTITUTE(SUBSTITUTE(SUBSTITUTE(SUBSTITUTE("Ref: "&amp;A93&amp;CHAR(10)&amp;"Customer: "&amp;D93&amp;"  "&amp;E93&amp;CHAR(10)&amp;"Phone: "&amp;F93&amp;CHAR(10)&amp;"Email: "&amp;G93&amp;CHAR(10)&amp;"Prefers: "&amp;H93&amp;CHAR(10)&amp;"Enquiry: "&amp;LEFT(I93,600)&amp;CHAR(10)&amp;CHAR(10)&amp;"Sent from the Preston Mazda enquiry log.","%","%25"),"&amp;","%26")," ","%20"),"#","%23"),CHAR(10),"%0A"),"✉ Email "&amp;M93))</f>
        <v/>
      </c>
      <c r="W93" s="18" t="str">
        <f aca="false">IF(OR(P93="",IFERROR(INDEX(Staff!$E$4:$E$33,MATCH(P93,Staff!$D$4:$D$33,0)),"")=""),"",HYPERLINK("mailto:"&amp;IFERROR(INDEX(Staff!$E$4:$E$33,MATCH(P93,Staff!$D$4:$D$33,0)),"")&amp;"?subject="&amp;SUBSTITUTE(SUBSTITUTE(SUBSTITUTE(SUBSTITUTE(SUBSTITUTE("Parts quote "&amp;A93&amp;" allocated to you - "&amp;D93,"%","%25"),"&amp;","%26")," ","%20"),"#","%23"),CHAR(10),"%0A")&amp;"&amp;body="&amp;SUBSTITUTE(SUBSTITUTE(SUBSTITUTE(SUBSTITUTE(SUBSTITUTE("Ref: "&amp;A93&amp;CHAR(10)&amp;"Customer: "&amp;D93&amp;"  "&amp;E93&amp;CHAR(10)&amp;"Phone: "&amp;F93&amp;CHAR(10)&amp;"Email: "&amp;G93&amp;CHAR(10)&amp;"Prefers: "&amp;H93&amp;CHAR(10)&amp;"Enquiry: "&amp;LEFT(I93,600)&amp;CHAR(10)&amp;CHAR(10)&amp;"Sent from the Preston Mazda enquiry log.","%","%25"),"&amp;","%26")," ","%20"),"#","%23"),CHAR(10),"%0A"),"✉ Email "&amp;P93))</f>
        <v/>
      </c>
    </row>
    <row r="94" customFormat="false" ht="15" hidden="false" customHeight="false" outlineLevel="0" collapsed="false">
      <c r="A94" s="10" t="str">
        <f aca="false">IF(D94="","","E-"&amp;TEXT(ROW()-3,"0000"))</f>
        <v/>
      </c>
      <c r="B94" s="11"/>
      <c r="C94" s="12"/>
      <c r="D94" s="13"/>
      <c r="E94" s="14"/>
      <c r="F94" s="12"/>
      <c r="G94" s="12"/>
      <c r="H94" s="15"/>
      <c r="I94" s="16"/>
      <c r="J94" s="17" t="str">
        <f aca="false">IF(D94="","",HYPERLINK(Settings!$B$7&amp;A94&amp;".pdf","Open "&amp;A94&amp;".pdf"))</f>
        <v/>
      </c>
      <c r="K94" s="16"/>
      <c r="L94" s="12"/>
      <c r="M94" s="12"/>
      <c r="N94" s="15"/>
      <c r="O94" s="15"/>
      <c r="P94" s="12"/>
      <c r="Q94" s="15"/>
      <c r="R94" s="15"/>
      <c r="S94" s="15" t="str">
        <f aca="false">IF(D94="","",IF(AND(O94="Yes",OR(Q94&lt;&gt;"Yes",R94="Yes")),"Complete","Open"))</f>
        <v/>
      </c>
      <c r="T94" s="18" t="str">
        <f aca="false">IF(AND(Q94="Yes",R94&lt;&gt;"Yes"),HYPERLINK("mailto:"&amp;Settings!$B$5&amp;"?subject="&amp;SUBSTITUTE(SUBSTITUTE(SUBSTITUTE(SUBSTITUTE(SUBSTITUTE("Parts quote required - "&amp;D94&amp;" "&amp;E94,"%","%25"),"&amp;","%26")," ","%20"),"#","%23"),CHAR(10),"%0A")&amp;"&amp;body="&amp;SUBSTITUTE(SUBSTITUTE(SUBSTITUTE(SUBSTITUTE(SUBSTITUTE("Ref: "&amp;A94&amp;CHAR(10)&amp;"Customer: "&amp;D94&amp;"  "&amp;E94&amp;CHAR(10)&amp;"Phone: "&amp;F94&amp;CHAR(10)&amp;"Email: "&amp;G94&amp;CHAR(10)&amp;"Prefers: "&amp;H94&amp;CHAR(10)&amp;"Enquiry: "&amp;LEFT(I94,600)&amp;CHAR(10)&amp;CHAR(10)&amp;"Sent from the Preston Mazda enquiry log.","%","%25"),"&amp;","%26")," ","%20"),"#","%23"),CHAR(10),"%0A"),"✉ Email parts"),"")</f>
        <v/>
      </c>
      <c r="U94" s="18" t="str">
        <f aca="false">IF(AND(N94="Yes",O94&lt;&gt;"Yes"),HYPERLINK("mailto:"&amp;Settings!$B$6&amp;"?subject="&amp;SUBSTITUTE(SUBSTITUTE(SUBSTITUTE(SUBSTITUTE(SUBSTITUTE("Customer contact required - "&amp;D94&amp;" "&amp;E94,"%","%25"),"&amp;","%26")," ","%20"),"#","%23"),CHAR(10),"%0A")&amp;"&amp;body="&amp;SUBSTITUTE(SUBSTITUTE(SUBSTITUTE(SUBSTITUTE(SUBSTITUTE("Ref: "&amp;A94&amp;CHAR(10)&amp;"Customer: "&amp;D94&amp;"  "&amp;E94&amp;CHAR(10)&amp;"Phone: "&amp;F94&amp;CHAR(10)&amp;"Email: "&amp;G94&amp;CHAR(10)&amp;"Prefers: "&amp;H94&amp;CHAR(10)&amp;"Enquiry: "&amp;LEFT(I94,600)&amp;CHAR(10)&amp;CHAR(10)&amp;"Sent from the Preston Mazda enquiry log.","%","%25"),"&amp;","%26")," ","%20"),"#","%23"),CHAR(10),"%0A"),"✉ Email advisors"),"")</f>
        <v/>
      </c>
      <c r="V94" s="18" t="str">
        <f aca="false">IF(OR(M94="",IFERROR(INDEX(Staff!$B$4:$B$33,MATCH(M94,Staff!$A$4:$A$33,0)),"")=""),"",HYPERLINK("mailto:"&amp;IFERROR(INDEX(Staff!$B$4:$B$33,MATCH(M94,Staff!$A$4:$A$33,0)),"")&amp;"?subject="&amp;SUBSTITUTE(SUBSTITUTE(SUBSTITUTE(SUBSTITUTE(SUBSTITUTE("Enquiry "&amp;A94&amp;" allocated to you - "&amp;D94,"%","%25"),"&amp;","%26")," ","%20"),"#","%23"),CHAR(10),"%0A")&amp;"&amp;body="&amp;SUBSTITUTE(SUBSTITUTE(SUBSTITUTE(SUBSTITUTE(SUBSTITUTE("Ref: "&amp;A94&amp;CHAR(10)&amp;"Customer: "&amp;D94&amp;"  "&amp;E94&amp;CHAR(10)&amp;"Phone: "&amp;F94&amp;CHAR(10)&amp;"Email: "&amp;G94&amp;CHAR(10)&amp;"Prefers: "&amp;H94&amp;CHAR(10)&amp;"Enquiry: "&amp;LEFT(I94,600)&amp;CHAR(10)&amp;CHAR(10)&amp;"Sent from the Preston Mazda enquiry log.","%","%25"),"&amp;","%26")," ","%20"),"#","%23"),CHAR(10),"%0A"),"✉ Email "&amp;M94))</f>
        <v/>
      </c>
      <c r="W94" s="18" t="str">
        <f aca="false">IF(OR(P94="",IFERROR(INDEX(Staff!$E$4:$E$33,MATCH(P94,Staff!$D$4:$D$33,0)),"")=""),"",HYPERLINK("mailto:"&amp;IFERROR(INDEX(Staff!$E$4:$E$33,MATCH(P94,Staff!$D$4:$D$33,0)),"")&amp;"?subject="&amp;SUBSTITUTE(SUBSTITUTE(SUBSTITUTE(SUBSTITUTE(SUBSTITUTE("Parts quote "&amp;A94&amp;" allocated to you - "&amp;D94,"%","%25"),"&amp;","%26")," ","%20"),"#","%23"),CHAR(10),"%0A")&amp;"&amp;body="&amp;SUBSTITUTE(SUBSTITUTE(SUBSTITUTE(SUBSTITUTE(SUBSTITUTE("Ref: "&amp;A94&amp;CHAR(10)&amp;"Customer: "&amp;D94&amp;"  "&amp;E94&amp;CHAR(10)&amp;"Phone: "&amp;F94&amp;CHAR(10)&amp;"Email: "&amp;G94&amp;CHAR(10)&amp;"Prefers: "&amp;H94&amp;CHAR(10)&amp;"Enquiry: "&amp;LEFT(I94,600)&amp;CHAR(10)&amp;CHAR(10)&amp;"Sent from the Preston Mazda enquiry log.","%","%25"),"&amp;","%26")," ","%20"),"#","%23"),CHAR(10),"%0A"),"✉ Email "&amp;P94))</f>
        <v/>
      </c>
    </row>
    <row r="95" customFormat="false" ht="15" hidden="false" customHeight="false" outlineLevel="0" collapsed="false">
      <c r="A95" s="10" t="str">
        <f aca="false">IF(D95="","","E-"&amp;TEXT(ROW()-3,"0000"))</f>
        <v/>
      </c>
      <c r="B95" s="11"/>
      <c r="C95" s="12"/>
      <c r="D95" s="13"/>
      <c r="E95" s="14"/>
      <c r="F95" s="12"/>
      <c r="G95" s="12"/>
      <c r="H95" s="15"/>
      <c r="I95" s="16"/>
      <c r="J95" s="17" t="str">
        <f aca="false">IF(D95="","",HYPERLINK(Settings!$B$7&amp;A95&amp;".pdf","Open "&amp;A95&amp;".pdf"))</f>
        <v/>
      </c>
      <c r="K95" s="16"/>
      <c r="L95" s="12"/>
      <c r="M95" s="12"/>
      <c r="N95" s="15"/>
      <c r="O95" s="15"/>
      <c r="P95" s="12"/>
      <c r="Q95" s="15"/>
      <c r="R95" s="15"/>
      <c r="S95" s="15" t="str">
        <f aca="false">IF(D95="","",IF(AND(O95="Yes",OR(Q95&lt;&gt;"Yes",R95="Yes")),"Complete","Open"))</f>
        <v/>
      </c>
      <c r="T95" s="18" t="str">
        <f aca="false">IF(AND(Q95="Yes",R95&lt;&gt;"Yes"),HYPERLINK("mailto:"&amp;Settings!$B$5&amp;"?subject="&amp;SUBSTITUTE(SUBSTITUTE(SUBSTITUTE(SUBSTITUTE(SUBSTITUTE("Parts quote required - "&amp;D95&amp;" "&amp;E95,"%","%25"),"&amp;","%26")," ","%20"),"#","%23"),CHAR(10),"%0A")&amp;"&amp;body="&amp;SUBSTITUTE(SUBSTITUTE(SUBSTITUTE(SUBSTITUTE(SUBSTITUTE("Ref: "&amp;A95&amp;CHAR(10)&amp;"Customer: "&amp;D95&amp;"  "&amp;E95&amp;CHAR(10)&amp;"Phone: "&amp;F95&amp;CHAR(10)&amp;"Email: "&amp;G95&amp;CHAR(10)&amp;"Prefers: "&amp;H95&amp;CHAR(10)&amp;"Enquiry: "&amp;LEFT(I95,600)&amp;CHAR(10)&amp;CHAR(10)&amp;"Sent from the Preston Mazda enquiry log.","%","%25"),"&amp;","%26")," ","%20"),"#","%23"),CHAR(10),"%0A"),"✉ Email parts"),"")</f>
        <v/>
      </c>
      <c r="U95" s="18" t="str">
        <f aca="false">IF(AND(N95="Yes",O95&lt;&gt;"Yes"),HYPERLINK("mailto:"&amp;Settings!$B$6&amp;"?subject="&amp;SUBSTITUTE(SUBSTITUTE(SUBSTITUTE(SUBSTITUTE(SUBSTITUTE("Customer contact required - "&amp;D95&amp;" "&amp;E95,"%","%25"),"&amp;","%26")," ","%20"),"#","%23"),CHAR(10),"%0A")&amp;"&amp;body="&amp;SUBSTITUTE(SUBSTITUTE(SUBSTITUTE(SUBSTITUTE(SUBSTITUTE("Ref: "&amp;A95&amp;CHAR(10)&amp;"Customer: "&amp;D95&amp;"  "&amp;E95&amp;CHAR(10)&amp;"Phone: "&amp;F95&amp;CHAR(10)&amp;"Email: "&amp;G95&amp;CHAR(10)&amp;"Prefers: "&amp;H95&amp;CHAR(10)&amp;"Enquiry: "&amp;LEFT(I95,600)&amp;CHAR(10)&amp;CHAR(10)&amp;"Sent from the Preston Mazda enquiry log.","%","%25"),"&amp;","%26")," ","%20"),"#","%23"),CHAR(10),"%0A"),"✉ Email advisors"),"")</f>
        <v/>
      </c>
      <c r="V95" s="18" t="str">
        <f aca="false">IF(OR(M95="",IFERROR(INDEX(Staff!$B$4:$B$33,MATCH(M95,Staff!$A$4:$A$33,0)),"")=""),"",HYPERLINK("mailto:"&amp;IFERROR(INDEX(Staff!$B$4:$B$33,MATCH(M95,Staff!$A$4:$A$33,0)),"")&amp;"?subject="&amp;SUBSTITUTE(SUBSTITUTE(SUBSTITUTE(SUBSTITUTE(SUBSTITUTE("Enquiry "&amp;A95&amp;" allocated to you - "&amp;D95,"%","%25"),"&amp;","%26")," ","%20"),"#","%23"),CHAR(10),"%0A")&amp;"&amp;body="&amp;SUBSTITUTE(SUBSTITUTE(SUBSTITUTE(SUBSTITUTE(SUBSTITUTE("Ref: "&amp;A95&amp;CHAR(10)&amp;"Customer: "&amp;D95&amp;"  "&amp;E95&amp;CHAR(10)&amp;"Phone: "&amp;F95&amp;CHAR(10)&amp;"Email: "&amp;G95&amp;CHAR(10)&amp;"Prefers: "&amp;H95&amp;CHAR(10)&amp;"Enquiry: "&amp;LEFT(I95,600)&amp;CHAR(10)&amp;CHAR(10)&amp;"Sent from the Preston Mazda enquiry log.","%","%25"),"&amp;","%26")," ","%20"),"#","%23"),CHAR(10),"%0A"),"✉ Email "&amp;M95))</f>
        <v/>
      </c>
      <c r="W95" s="18" t="str">
        <f aca="false">IF(OR(P95="",IFERROR(INDEX(Staff!$E$4:$E$33,MATCH(P95,Staff!$D$4:$D$33,0)),"")=""),"",HYPERLINK("mailto:"&amp;IFERROR(INDEX(Staff!$E$4:$E$33,MATCH(P95,Staff!$D$4:$D$33,0)),"")&amp;"?subject="&amp;SUBSTITUTE(SUBSTITUTE(SUBSTITUTE(SUBSTITUTE(SUBSTITUTE("Parts quote "&amp;A95&amp;" allocated to you - "&amp;D95,"%","%25"),"&amp;","%26")," ","%20"),"#","%23"),CHAR(10),"%0A")&amp;"&amp;body="&amp;SUBSTITUTE(SUBSTITUTE(SUBSTITUTE(SUBSTITUTE(SUBSTITUTE("Ref: "&amp;A95&amp;CHAR(10)&amp;"Customer: "&amp;D95&amp;"  "&amp;E95&amp;CHAR(10)&amp;"Phone: "&amp;F95&amp;CHAR(10)&amp;"Email: "&amp;G95&amp;CHAR(10)&amp;"Prefers: "&amp;H95&amp;CHAR(10)&amp;"Enquiry: "&amp;LEFT(I95,600)&amp;CHAR(10)&amp;CHAR(10)&amp;"Sent from the Preston Mazda enquiry log.","%","%25"),"&amp;","%26")," ","%20"),"#","%23"),CHAR(10),"%0A"),"✉ Email "&amp;P95))</f>
        <v/>
      </c>
    </row>
    <row r="96" customFormat="false" ht="15" hidden="false" customHeight="false" outlineLevel="0" collapsed="false">
      <c r="A96" s="10" t="str">
        <f aca="false">IF(D96="","","E-"&amp;TEXT(ROW()-3,"0000"))</f>
        <v/>
      </c>
      <c r="B96" s="11"/>
      <c r="C96" s="12"/>
      <c r="D96" s="13"/>
      <c r="E96" s="14"/>
      <c r="F96" s="12"/>
      <c r="G96" s="12"/>
      <c r="H96" s="15"/>
      <c r="I96" s="16"/>
      <c r="J96" s="17" t="str">
        <f aca="false">IF(D96="","",HYPERLINK(Settings!$B$7&amp;A96&amp;".pdf","Open "&amp;A96&amp;".pdf"))</f>
        <v/>
      </c>
      <c r="K96" s="16"/>
      <c r="L96" s="12"/>
      <c r="M96" s="12"/>
      <c r="N96" s="15"/>
      <c r="O96" s="15"/>
      <c r="P96" s="12"/>
      <c r="Q96" s="15"/>
      <c r="R96" s="15"/>
      <c r="S96" s="15" t="str">
        <f aca="false">IF(D96="","",IF(AND(O96="Yes",OR(Q96&lt;&gt;"Yes",R96="Yes")),"Complete","Open"))</f>
        <v/>
      </c>
      <c r="T96" s="18" t="str">
        <f aca="false">IF(AND(Q96="Yes",R96&lt;&gt;"Yes"),HYPERLINK("mailto:"&amp;Settings!$B$5&amp;"?subject="&amp;SUBSTITUTE(SUBSTITUTE(SUBSTITUTE(SUBSTITUTE(SUBSTITUTE("Parts quote required - "&amp;D96&amp;" "&amp;E96,"%","%25"),"&amp;","%26")," ","%20"),"#","%23"),CHAR(10),"%0A")&amp;"&amp;body="&amp;SUBSTITUTE(SUBSTITUTE(SUBSTITUTE(SUBSTITUTE(SUBSTITUTE("Ref: "&amp;A96&amp;CHAR(10)&amp;"Customer: "&amp;D96&amp;"  "&amp;E96&amp;CHAR(10)&amp;"Phone: "&amp;F96&amp;CHAR(10)&amp;"Email: "&amp;G96&amp;CHAR(10)&amp;"Prefers: "&amp;H96&amp;CHAR(10)&amp;"Enquiry: "&amp;LEFT(I96,600)&amp;CHAR(10)&amp;CHAR(10)&amp;"Sent from the Preston Mazda enquiry log.","%","%25"),"&amp;","%26")," ","%20"),"#","%23"),CHAR(10),"%0A"),"✉ Email parts"),"")</f>
        <v/>
      </c>
      <c r="U96" s="18" t="str">
        <f aca="false">IF(AND(N96="Yes",O96&lt;&gt;"Yes"),HYPERLINK("mailto:"&amp;Settings!$B$6&amp;"?subject="&amp;SUBSTITUTE(SUBSTITUTE(SUBSTITUTE(SUBSTITUTE(SUBSTITUTE("Customer contact required - "&amp;D96&amp;" "&amp;E96,"%","%25"),"&amp;","%26")," ","%20"),"#","%23"),CHAR(10),"%0A")&amp;"&amp;body="&amp;SUBSTITUTE(SUBSTITUTE(SUBSTITUTE(SUBSTITUTE(SUBSTITUTE("Ref: "&amp;A96&amp;CHAR(10)&amp;"Customer: "&amp;D96&amp;"  "&amp;E96&amp;CHAR(10)&amp;"Phone: "&amp;F96&amp;CHAR(10)&amp;"Email: "&amp;G96&amp;CHAR(10)&amp;"Prefers: "&amp;H96&amp;CHAR(10)&amp;"Enquiry: "&amp;LEFT(I96,600)&amp;CHAR(10)&amp;CHAR(10)&amp;"Sent from the Preston Mazda enquiry log.","%","%25"),"&amp;","%26")," ","%20"),"#","%23"),CHAR(10),"%0A"),"✉ Email advisors"),"")</f>
        <v/>
      </c>
      <c r="V96" s="18" t="str">
        <f aca="false">IF(OR(M96="",IFERROR(INDEX(Staff!$B$4:$B$33,MATCH(M96,Staff!$A$4:$A$33,0)),"")=""),"",HYPERLINK("mailto:"&amp;IFERROR(INDEX(Staff!$B$4:$B$33,MATCH(M96,Staff!$A$4:$A$33,0)),"")&amp;"?subject="&amp;SUBSTITUTE(SUBSTITUTE(SUBSTITUTE(SUBSTITUTE(SUBSTITUTE("Enquiry "&amp;A96&amp;" allocated to you - "&amp;D96,"%","%25"),"&amp;","%26")," ","%20"),"#","%23"),CHAR(10),"%0A")&amp;"&amp;body="&amp;SUBSTITUTE(SUBSTITUTE(SUBSTITUTE(SUBSTITUTE(SUBSTITUTE("Ref: "&amp;A96&amp;CHAR(10)&amp;"Customer: "&amp;D96&amp;"  "&amp;E96&amp;CHAR(10)&amp;"Phone: "&amp;F96&amp;CHAR(10)&amp;"Email: "&amp;G96&amp;CHAR(10)&amp;"Prefers: "&amp;H96&amp;CHAR(10)&amp;"Enquiry: "&amp;LEFT(I96,600)&amp;CHAR(10)&amp;CHAR(10)&amp;"Sent from the Preston Mazda enquiry log.","%","%25"),"&amp;","%26")," ","%20"),"#","%23"),CHAR(10),"%0A"),"✉ Email "&amp;M96))</f>
        <v/>
      </c>
      <c r="W96" s="18" t="str">
        <f aca="false">IF(OR(P96="",IFERROR(INDEX(Staff!$E$4:$E$33,MATCH(P96,Staff!$D$4:$D$33,0)),"")=""),"",HYPERLINK("mailto:"&amp;IFERROR(INDEX(Staff!$E$4:$E$33,MATCH(P96,Staff!$D$4:$D$33,0)),"")&amp;"?subject="&amp;SUBSTITUTE(SUBSTITUTE(SUBSTITUTE(SUBSTITUTE(SUBSTITUTE("Parts quote "&amp;A96&amp;" allocated to you - "&amp;D96,"%","%25"),"&amp;","%26")," ","%20"),"#","%23"),CHAR(10),"%0A")&amp;"&amp;body="&amp;SUBSTITUTE(SUBSTITUTE(SUBSTITUTE(SUBSTITUTE(SUBSTITUTE("Ref: "&amp;A96&amp;CHAR(10)&amp;"Customer: "&amp;D96&amp;"  "&amp;E96&amp;CHAR(10)&amp;"Phone: "&amp;F96&amp;CHAR(10)&amp;"Email: "&amp;G96&amp;CHAR(10)&amp;"Prefers: "&amp;H96&amp;CHAR(10)&amp;"Enquiry: "&amp;LEFT(I96,600)&amp;CHAR(10)&amp;CHAR(10)&amp;"Sent from the Preston Mazda enquiry log.","%","%25"),"&amp;","%26")," ","%20"),"#","%23"),CHAR(10),"%0A"),"✉ Email "&amp;P96))</f>
        <v/>
      </c>
    </row>
    <row r="97" customFormat="false" ht="15" hidden="false" customHeight="false" outlineLevel="0" collapsed="false">
      <c r="A97" s="10" t="str">
        <f aca="false">IF(D97="","","E-"&amp;TEXT(ROW()-3,"0000"))</f>
        <v/>
      </c>
      <c r="B97" s="11"/>
      <c r="C97" s="12"/>
      <c r="D97" s="13"/>
      <c r="E97" s="14"/>
      <c r="F97" s="12"/>
      <c r="G97" s="12"/>
      <c r="H97" s="15"/>
      <c r="I97" s="16"/>
      <c r="J97" s="17" t="str">
        <f aca="false">IF(D97="","",HYPERLINK(Settings!$B$7&amp;A97&amp;".pdf","Open "&amp;A97&amp;".pdf"))</f>
        <v/>
      </c>
      <c r="K97" s="16"/>
      <c r="L97" s="12"/>
      <c r="M97" s="12"/>
      <c r="N97" s="15"/>
      <c r="O97" s="15"/>
      <c r="P97" s="12"/>
      <c r="Q97" s="15"/>
      <c r="R97" s="15"/>
      <c r="S97" s="15" t="str">
        <f aca="false">IF(D97="","",IF(AND(O97="Yes",OR(Q97&lt;&gt;"Yes",R97="Yes")),"Complete","Open"))</f>
        <v/>
      </c>
      <c r="T97" s="18" t="str">
        <f aca="false">IF(AND(Q97="Yes",R97&lt;&gt;"Yes"),HYPERLINK("mailto:"&amp;Settings!$B$5&amp;"?subject="&amp;SUBSTITUTE(SUBSTITUTE(SUBSTITUTE(SUBSTITUTE(SUBSTITUTE("Parts quote required - "&amp;D97&amp;" "&amp;E97,"%","%25"),"&amp;","%26")," ","%20"),"#","%23"),CHAR(10),"%0A")&amp;"&amp;body="&amp;SUBSTITUTE(SUBSTITUTE(SUBSTITUTE(SUBSTITUTE(SUBSTITUTE("Ref: "&amp;A97&amp;CHAR(10)&amp;"Customer: "&amp;D97&amp;"  "&amp;E97&amp;CHAR(10)&amp;"Phone: "&amp;F97&amp;CHAR(10)&amp;"Email: "&amp;G97&amp;CHAR(10)&amp;"Prefers: "&amp;H97&amp;CHAR(10)&amp;"Enquiry: "&amp;LEFT(I97,600)&amp;CHAR(10)&amp;CHAR(10)&amp;"Sent from the Preston Mazda enquiry log.","%","%25"),"&amp;","%26")," ","%20"),"#","%23"),CHAR(10),"%0A"),"✉ Email parts"),"")</f>
        <v/>
      </c>
      <c r="U97" s="18" t="str">
        <f aca="false">IF(AND(N97="Yes",O97&lt;&gt;"Yes"),HYPERLINK("mailto:"&amp;Settings!$B$6&amp;"?subject="&amp;SUBSTITUTE(SUBSTITUTE(SUBSTITUTE(SUBSTITUTE(SUBSTITUTE("Customer contact required - "&amp;D97&amp;" "&amp;E97,"%","%25"),"&amp;","%26")," ","%20"),"#","%23"),CHAR(10),"%0A")&amp;"&amp;body="&amp;SUBSTITUTE(SUBSTITUTE(SUBSTITUTE(SUBSTITUTE(SUBSTITUTE("Ref: "&amp;A97&amp;CHAR(10)&amp;"Customer: "&amp;D97&amp;"  "&amp;E97&amp;CHAR(10)&amp;"Phone: "&amp;F97&amp;CHAR(10)&amp;"Email: "&amp;G97&amp;CHAR(10)&amp;"Prefers: "&amp;H97&amp;CHAR(10)&amp;"Enquiry: "&amp;LEFT(I97,600)&amp;CHAR(10)&amp;CHAR(10)&amp;"Sent from the Preston Mazda enquiry log.","%","%25"),"&amp;","%26")," ","%20"),"#","%23"),CHAR(10),"%0A"),"✉ Email advisors"),"")</f>
        <v/>
      </c>
      <c r="V97" s="18" t="str">
        <f aca="false">IF(OR(M97="",IFERROR(INDEX(Staff!$B$4:$B$33,MATCH(M97,Staff!$A$4:$A$33,0)),"")=""),"",HYPERLINK("mailto:"&amp;IFERROR(INDEX(Staff!$B$4:$B$33,MATCH(M97,Staff!$A$4:$A$33,0)),"")&amp;"?subject="&amp;SUBSTITUTE(SUBSTITUTE(SUBSTITUTE(SUBSTITUTE(SUBSTITUTE("Enquiry "&amp;A97&amp;" allocated to you - "&amp;D97,"%","%25"),"&amp;","%26")," ","%20"),"#","%23"),CHAR(10),"%0A")&amp;"&amp;body="&amp;SUBSTITUTE(SUBSTITUTE(SUBSTITUTE(SUBSTITUTE(SUBSTITUTE("Ref: "&amp;A97&amp;CHAR(10)&amp;"Customer: "&amp;D97&amp;"  "&amp;E97&amp;CHAR(10)&amp;"Phone: "&amp;F97&amp;CHAR(10)&amp;"Email: "&amp;G97&amp;CHAR(10)&amp;"Prefers: "&amp;H97&amp;CHAR(10)&amp;"Enquiry: "&amp;LEFT(I97,600)&amp;CHAR(10)&amp;CHAR(10)&amp;"Sent from the Preston Mazda enquiry log.","%","%25"),"&amp;","%26")," ","%20"),"#","%23"),CHAR(10),"%0A"),"✉ Email "&amp;M97))</f>
        <v/>
      </c>
      <c r="W97" s="18" t="str">
        <f aca="false">IF(OR(P97="",IFERROR(INDEX(Staff!$E$4:$E$33,MATCH(P97,Staff!$D$4:$D$33,0)),"")=""),"",HYPERLINK("mailto:"&amp;IFERROR(INDEX(Staff!$E$4:$E$33,MATCH(P97,Staff!$D$4:$D$33,0)),"")&amp;"?subject="&amp;SUBSTITUTE(SUBSTITUTE(SUBSTITUTE(SUBSTITUTE(SUBSTITUTE("Parts quote "&amp;A97&amp;" allocated to you - "&amp;D97,"%","%25"),"&amp;","%26")," ","%20"),"#","%23"),CHAR(10),"%0A")&amp;"&amp;body="&amp;SUBSTITUTE(SUBSTITUTE(SUBSTITUTE(SUBSTITUTE(SUBSTITUTE("Ref: "&amp;A97&amp;CHAR(10)&amp;"Customer: "&amp;D97&amp;"  "&amp;E97&amp;CHAR(10)&amp;"Phone: "&amp;F97&amp;CHAR(10)&amp;"Email: "&amp;G97&amp;CHAR(10)&amp;"Prefers: "&amp;H97&amp;CHAR(10)&amp;"Enquiry: "&amp;LEFT(I97,600)&amp;CHAR(10)&amp;CHAR(10)&amp;"Sent from the Preston Mazda enquiry log.","%","%25"),"&amp;","%26")," ","%20"),"#","%23"),CHAR(10),"%0A"),"✉ Email "&amp;P97))</f>
        <v/>
      </c>
    </row>
    <row r="98" customFormat="false" ht="15" hidden="false" customHeight="false" outlineLevel="0" collapsed="false">
      <c r="A98" s="10" t="str">
        <f aca="false">IF(D98="","","E-"&amp;TEXT(ROW()-3,"0000"))</f>
        <v/>
      </c>
      <c r="B98" s="11"/>
      <c r="C98" s="12"/>
      <c r="D98" s="13"/>
      <c r="E98" s="14"/>
      <c r="F98" s="12"/>
      <c r="G98" s="12"/>
      <c r="H98" s="15"/>
      <c r="I98" s="16"/>
      <c r="J98" s="17" t="str">
        <f aca="false">IF(D98="","",HYPERLINK(Settings!$B$7&amp;A98&amp;".pdf","Open "&amp;A98&amp;".pdf"))</f>
        <v/>
      </c>
      <c r="K98" s="16"/>
      <c r="L98" s="12"/>
      <c r="M98" s="12"/>
      <c r="N98" s="15"/>
      <c r="O98" s="15"/>
      <c r="P98" s="12"/>
      <c r="Q98" s="15"/>
      <c r="R98" s="15"/>
      <c r="S98" s="15" t="str">
        <f aca="false">IF(D98="","",IF(AND(O98="Yes",OR(Q98&lt;&gt;"Yes",R98="Yes")),"Complete","Open"))</f>
        <v/>
      </c>
      <c r="T98" s="18" t="str">
        <f aca="false">IF(AND(Q98="Yes",R98&lt;&gt;"Yes"),HYPERLINK("mailto:"&amp;Settings!$B$5&amp;"?subject="&amp;SUBSTITUTE(SUBSTITUTE(SUBSTITUTE(SUBSTITUTE(SUBSTITUTE("Parts quote required - "&amp;D98&amp;" "&amp;E98,"%","%25"),"&amp;","%26")," ","%20"),"#","%23"),CHAR(10),"%0A")&amp;"&amp;body="&amp;SUBSTITUTE(SUBSTITUTE(SUBSTITUTE(SUBSTITUTE(SUBSTITUTE("Ref: "&amp;A98&amp;CHAR(10)&amp;"Customer: "&amp;D98&amp;"  "&amp;E98&amp;CHAR(10)&amp;"Phone: "&amp;F98&amp;CHAR(10)&amp;"Email: "&amp;G98&amp;CHAR(10)&amp;"Prefers: "&amp;H98&amp;CHAR(10)&amp;"Enquiry: "&amp;LEFT(I98,600)&amp;CHAR(10)&amp;CHAR(10)&amp;"Sent from the Preston Mazda enquiry log.","%","%25"),"&amp;","%26")," ","%20"),"#","%23"),CHAR(10),"%0A"),"✉ Email parts"),"")</f>
        <v/>
      </c>
      <c r="U98" s="18" t="str">
        <f aca="false">IF(AND(N98="Yes",O98&lt;&gt;"Yes"),HYPERLINK("mailto:"&amp;Settings!$B$6&amp;"?subject="&amp;SUBSTITUTE(SUBSTITUTE(SUBSTITUTE(SUBSTITUTE(SUBSTITUTE("Customer contact required - "&amp;D98&amp;" "&amp;E98,"%","%25"),"&amp;","%26")," ","%20"),"#","%23"),CHAR(10),"%0A")&amp;"&amp;body="&amp;SUBSTITUTE(SUBSTITUTE(SUBSTITUTE(SUBSTITUTE(SUBSTITUTE("Ref: "&amp;A98&amp;CHAR(10)&amp;"Customer: "&amp;D98&amp;"  "&amp;E98&amp;CHAR(10)&amp;"Phone: "&amp;F98&amp;CHAR(10)&amp;"Email: "&amp;G98&amp;CHAR(10)&amp;"Prefers: "&amp;H98&amp;CHAR(10)&amp;"Enquiry: "&amp;LEFT(I98,600)&amp;CHAR(10)&amp;CHAR(10)&amp;"Sent from the Preston Mazda enquiry log.","%","%25"),"&amp;","%26")," ","%20"),"#","%23"),CHAR(10),"%0A"),"✉ Email advisors"),"")</f>
        <v/>
      </c>
      <c r="V98" s="18" t="str">
        <f aca="false">IF(OR(M98="",IFERROR(INDEX(Staff!$B$4:$B$33,MATCH(M98,Staff!$A$4:$A$33,0)),"")=""),"",HYPERLINK("mailto:"&amp;IFERROR(INDEX(Staff!$B$4:$B$33,MATCH(M98,Staff!$A$4:$A$33,0)),"")&amp;"?subject="&amp;SUBSTITUTE(SUBSTITUTE(SUBSTITUTE(SUBSTITUTE(SUBSTITUTE("Enquiry "&amp;A98&amp;" allocated to you - "&amp;D98,"%","%25"),"&amp;","%26")," ","%20"),"#","%23"),CHAR(10),"%0A")&amp;"&amp;body="&amp;SUBSTITUTE(SUBSTITUTE(SUBSTITUTE(SUBSTITUTE(SUBSTITUTE("Ref: "&amp;A98&amp;CHAR(10)&amp;"Customer: "&amp;D98&amp;"  "&amp;E98&amp;CHAR(10)&amp;"Phone: "&amp;F98&amp;CHAR(10)&amp;"Email: "&amp;G98&amp;CHAR(10)&amp;"Prefers: "&amp;H98&amp;CHAR(10)&amp;"Enquiry: "&amp;LEFT(I98,600)&amp;CHAR(10)&amp;CHAR(10)&amp;"Sent from the Preston Mazda enquiry log.","%","%25"),"&amp;","%26")," ","%20"),"#","%23"),CHAR(10),"%0A"),"✉ Email "&amp;M98))</f>
        <v/>
      </c>
      <c r="W98" s="18" t="str">
        <f aca="false">IF(OR(P98="",IFERROR(INDEX(Staff!$E$4:$E$33,MATCH(P98,Staff!$D$4:$D$33,0)),"")=""),"",HYPERLINK("mailto:"&amp;IFERROR(INDEX(Staff!$E$4:$E$33,MATCH(P98,Staff!$D$4:$D$33,0)),"")&amp;"?subject="&amp;SUBSTITUTE(SUBSTITUTE(SUBSTITUTE(SUBSTITUTE(SUBSTITUTE("Parts quote "&amp;A98&amp;" allocated to you - "&amp;D98,"%","%25"),"&amp;","%26")," ","%20"),"#","%23"),CHAR(10),"%0A")&amp;"&amp;body="&amp;SUBSTITUTE(SUBSTITUTE(SUBSTITUTE(SUBSTITUTE(SUBSTITUTE("Ref: "&amp;A98&amp;CHAR(10)&amp;"Customer: "&amp;D98&amp;"  "&amp;E98&amp;CHAR(10)&amp;"Phone: "&amp;F98&amp;CHAR(10)&amp;"Email: "&amp;G98&amp;CHAR(10)&amp;"Prefers: "&amp;H98&amp;CHAR(10)&amp;"Enquiry: "&amp;LEFT(I98,600)&amp;CHAR(10)&amp;CHAR(10)&amp;"Sent from the Preston Mazda enquiry log.","%","%25"),"&amp;","%26")," ","%20"),"#","%23"),CHAR(10),"%0A"),"✉ Email "&amp;P98))</f>
        <v/>
      </c>
    </row>
    <row r="99" customFormat="false" ht="15" hidden="false" customHeight="false" outlineLevel="0" collapsed="false">
      <c r="A99" s="10" t="str">
        <f aca="false">IF(D99="","","E-"&amp;TEXT(ROW()-3,"0000"))</f>
        <v/>
      </c>
      <c r="B99" s="11"/>
      <c r="C99" s="12"/>
      <c r="D99" s="13"/>
      <c r="E99" s="14"/>
      <c r="F99" s="12"/>
      <c r="G99" s="12"/>
      <c r="H99" s="15"/>
      <c r="I99" s="16"/>
      <c r="J99" s="17" t="str">
        <f aca="false">IF(D99="","",HYPERLINK(Settings!$B$7&amp;A99&amp;".pdf","Open "&amp;A99&amp;".pdf"))</f>
        <v/>
      </c>
      <c r="K99" s="16"/>
      <c r="L99" s="12"/>
      <c r="M99" s="12"/>
      <c r="N99" s="15"/>
      <c r="O99" s="15"/>
      <c r="P99" s="12"/>
      <c r="Q99" s="15"/>
      <c r="R99" s="15"/>
      <c r="S99" s="15" t="str">
        <f aca="false">IF(D99="","",IF(AND(O99="Yes",OR(Q99&lt;&gt;"Yes",R99="Yes")),"Complete","Open"))</f>
        <v/>
      </c>
      <c r="T99" s="18" t="str">
        <f aca="false">IF(AND(Q99="Yes",R99&lt;&gt;"Yes"),HYPERLINK("mailto:"&amp;Settings!$B$5&amp;"?subject="&amp;SUBSTITUTE(SUBSTITUTE(SUBSTITUTE(SUBSTITUTE(SUBSTITUTE("Parts quote required - "&amp;D99&amp;" "&amp;E99,"%","%25"),"&amp;","%26")," ","%20"),"#","%23"),CHAR(10),"%0A")&amp;"&amp;body="&amp;SUBSTITUTE(SUBSTITUTE(SUBSTITUTE(SUBSTITUTE(SUBSTITUTE("Ref: "&amp;A99&amp;CHAR(10)&amp;"Customer: "&amp;D99&amp;"  "&amp;E99&amp;CHAR(10)&amp;"Phone: "&amp;F99&amp;CHAR(10)&amp;"Email: "&amp;G99&amp;CHAR(10)&amp;"Prefers: "&amp;H99&amp;CHAR(10)&amp;"Enquiry: "&amp;LEFT(I99,600)&amp;CHAR(10)&amp;CHAR(10)&amp;"Sent from the Preston Mazda enquiry log.","%","%25"),"&amp;","%26")," ","%20"),"#","%23"),CHAR(10),"%0A"),"✉ Email parts"),"")</f>
        <v/>
      </c>
      <c r="U99" s="18" t="str">
        <f aca="false">IF(AND(N99="Yes",O99&lt;&gt;"Yes"),HYPERLINK("mailto:"&amp;Settings!$B$6&amp;"?subject="&amp;SUBSTITUTE(SUBSTITUTE(SUBSTITUTE(SUBSTITUTE(SUBSTITUTE("Customer contact required - "&amp;D99&amp;" "&amp;E99,"%","%25"),"&amp;","%26")," ","%20"),"#","%23"),CHAR(10),"%0A")&amp;"&amp;body="&amp;SUBSTITUTE(SUBSTITUTE(SUBSTITUTE(SUBSTITUTE(SUBSTITUTE("Ref: "&amp;A99&amp;CHAR(10)&amp;"Customer: "&amp;D99&amp;"  "&amp;E99&amp;CHAR(10)&amp;"Phone: "&amp;F99&amp;CHAR(10)&amp;"Email: "&amp;G99&amp;CHAR(10)&amp;"Prefers: "&amp;H99&amp;CHAR(10)&amp;"Enquiry: "&amp;LEFT(I99,600)&amp;CHAR(10)&amp;CHAR(10)&amp;"Sent from the Preston Mazda enquiry log.","%","%25"),"&amp;","%26")," ","%20"),"#","%23"),CHAR(10),"%0A"),"✉ Email advisors"),"")</f>
        <v/>
      </c>
      <c r="V99" s="18" t="str">
        <f aca="false">IF(OR(M99="",IFERROR(INDEX(Staff!$B$4:$B$33,MATCH(M99,Staff!$A$4:$A$33,0)),"")=""),"",HYPERLINK("mailto:"&amp;IFERROR(INDEX(Staff!$B$4:$B$33,MATCH(M99,Staff!$A$4:$A$33,0)),"")&amp;"?subject="&amp;SUBSTITUTE(SUBSTITUTE(SUBSTITUTE(SUBSTITUTE(SUBSTITUTE("Enquiry "&amp;A99&amp;" allocated to you - "&amp;D99,"%","%25"),"&amp;","%26")," ","%20"),"#","%23"),CHAR(10),"%0A")&amp;"&amp;body="&amp;SUBSTITUTE(SUBSTITUTE(SUBSTITUTE(SUBSTITUTE(SUBSTITUTE("Ref: "&amp;A99&amp;CHAR(10)&amp;"Customer: "&amp;D99&amp;"  "&amp;E99&amp;CHAR(10)&amp;"Phone: "&amp;F99&amp;CHAR(10)&amp;"Email: "&amp;G99&amp;CHAR(10)&amp;"Prefers: "&amp;H99&amp;CHAR(10)&amp;"Enquiry: "&amp;LEFT(I99,600)&amp;CHAR(10)&amp;CHAR(10)&amp;"Sent from the Preston Mazda enquiry log.","%","%25"),"&amp;","%26")," ","%20"),"#","%23"),CHAR(10),"%0A"),"✉ Email "&amp;M99))</f>
        <v/>
      </c>
      <c r="W99" s="18" t="str">
        <f aca="false">IF(OR(P99="",IFERROR(INDEX(Staff!$E$4:$E$33,MATCH(P99,Staff!$D$4:$D$33,0)),"")=""),"",HYPERLINK("mailto:"&amp;IFERROR(INDEX(Staff!$E$4:$E$33,MATCH(P99,Staff!$D$4:$D$33,0)),"")&amp;"?subject="&amp;SUBSTITUTE(SUBSTITUTE(SUBSTITUTE(SUBSTITUTE(SUBSTITUTE("Parts quote "&amp;A99&amp;" allocated to you - "&amp;D99,"%","%25"),"&amp;","%26")," ","%20"),"#","%23"),CHAR(10),"%0A")&amp;"&amp;body="&amp;SUBSTITUTE(SUBSTITUTE(SUBSTITUTE(SUBSTITUTE(SUBSTITUTE("Ref: "&amp;A99&amp;CHAR(10)&amp;"Customer: "&amp;D99&amp;"  "&amp;E99&amp;CHAR(10)&amp;"Phone: "&amp;F99&amp;CHAR(10)&amp;"Email: "&amp;G99&amp;CHAR(10)&amp;"Prefers: "&amp;H99&amp;CHAR(10)&amp;"Enquiry: "&amp;LEFT(I99,600)&amp;CHAR(10)&amp;CHAR(10)&amp;"Sent from the Preston Mazda enquiry log.","%","%25"),"&amp;","%26")," ","%20"),"#","%23"),CHAR(10),"%0A"),"✉ Email "&amp;P99))</f>
        <v/>
      </c>
    </row>
    <row r="100" customFormat="false" ht="15" hidden="false" customHeight="false" outlineLevel="0" collapsed="false">
      <c r="A100" s="10" t="str">
        <f aca="false">IF(D100="","","E-"&amp;TEXT(ROW()-3,"0000"))</f>
        <v/>
      </c>
      <c r="B100" s="11"/>
      <c r="C100" s="12"/>
      <c r="D100" s="13"/>
      <c r="E100" s="14"/>
      <c r="F100" s="12"/>
      <c r="G100" s="12"/>
      <c r="H100" s="15"/>
      <c r="I100" s="16"/>
      <c r="J100" s="17" t="str">
        <f aca="false">IF(D100="","",HYPERLINK(Settings!$B$7&amp;A100&amp;".pdf","Open "&amp;A100&amp;".pdf"))</f>
        <v/>
      </c>
      <c r="K100" s="16"/>
      <c r="L100" s="12"/>
      <c r="M100" s="12"/>
      <c r="N100" s="15"/>
      <c r="O100" s="15"/>
      <c r="P100" s="12"/>
      <c r="Q100" s="15"/>
      <c r="R100" s="15"/>
      <c r="S100" s="15" t="str">
        <f aca="false">IF(D100="","",IF(AND(O100="Yes",OR(Q100&lt;&gt;"Yes",R100="Yes")),"Complete","Open"))</f>
        <v/>
      </c>
      <c r="T100" s="18" t="str">
        <f aca="false">IF(AND(Q100="Yes",R100&lt;&gt;"Yes"),HYPERLINK("mailto:"&amp;Settings!$B$5&amp;"?subject="&amp;SUBSTITUTE(SUBSTITUTE(SUBSTITUTE(SUBSTITUTE(SUBSTITUTE("Parts quote required - "&amp;D100&amp;" "&amp;E100,"%","%25"),"&amp;","%26")," ","%20"),"#","%23"),CHAR(10),"%0A")&amp;"&amp;body="&amp;SUBSTITUTE(SUBSTITUTE(SUBSTITUTE(SUBSTITUTE(SUBSTITUTE("Ref: "&amp;A100&amp;CHAR(10)&amp;"Customer: "&amp;D100&amp;"  "&amp;E100&amp;CHAR(10)&amp;"Phone: "&amp;F100&amp;CHAR(10)&amp;"Email: "&amp;G100&amp;CHAR(10)&amp;"Prefers: "&amp;H100&amp;CHAR(10)&amp;"Enquiry: "&amp;LEFT(I100,600)&amp;CHAR(10)&amp;CHAR(10)&amp;"Sent from the Preston Mazda enquiry log.","%","%25"),"&amp;","%26")," ","%20"),"#","%23"),CHAR(10),"%0A"),"✉ Email parts"),"")</f>
        <v/>
      </c>
      <c r="U100" s="18" t="str">
        <f aca="false">IF(AND(N100="Yes",O100&lt;&gt;"Yes"),HYPERLINK("mailto:"&amp;Settings!$B$6&amp;"?subject="&amp;SUBSTITUTE(SUBSTITUTE(SUBSTITUTE(SUBSTITUTE(SUBSTITUTE("Customer contact required - "&amp;D100&amp;" "&amp;E100,"%","%25"),"&amp;","%26")," ","%20"),"#","%23"),CHAR(10),"%0A")&amp;"&amp;body="&amp;SUBSTITUTE(SUBSTITUTE(SUBSTITUTE(SUBSTITUTE(SUBSTITUTE("Ref: "&amp;A100&amp;CHAR(10)&amp;"Customer: "&amp;D100&amp;"  "&amp;E100&amp;CHAR(10)&amp;"Phone: "&amp;F100&amp;CHAR(10)&amp;"Email: "&amp;G100&amp;CHAR(10)&amp;"Prefers: "&amp;H100&amp;CHAR(10)&amp;"Enquiry: "&amp;LEFT(I100,600)&amp;CHAR(10)&amp;CHAR(10)&amp;"Sent from the Preston Mazda enquiry log.","%","%25"),"&amp;","%26")," ","%20"),"#","%23"),CHAR(10),"%0A"),"✉ Email advisors"),"")</f>
        <v/>
      </c>
      <c r="V100" s="18" t="str">
        <f aca="false">IF(OR(M100="",IFERROR(INDEX(Staff!$B$4:$B$33,MATCH(M100,Staff!$A$4:$A$33,0)),"")=""),"",HYPERLINK("mailto:"&amp;IFERROR(INDEX(Staff!$B$4:$B$33,MATCH(M100,Staff!$A$4:$A$33,0)),"")&amp;"?subject="&amp;SUBSTITUTE(SUBSTITUTE(SUBSTITUTE(SUBSTITUTE(SUBSTITUTE("Enquiry "&amp;A100&amp;" allocated to you - "&amp;D100,"%","%25"),"&amp;","%26")," ","%20"),"#","%23"),CHAR(10),"%0A")&amp;"&amp;body="&amp;SUBSTITUTE(SUBSTITUTE(SUBSTITUTE(SUBSTITUTE(SUBSTITUTE("Ref: "&amp;A100&amp;CHAR(10)&amp;"Customer: "&amp;D100&amp;"  "&amp;E100&amp;CHAR(10)&amp;"Phone: "&amp;F100&amp;CHAR(10)&amp;"Email: "&amp;G100&amp;CHAR(10)&amp;"Prefers: "&amp;H100&amp;CHAR(10)&amp;"Enquiry: "&amp;LEFT(I100,600)&amp;CHAR(10)&amp;CHAR(10)&amp;"Sent from the Preston Mazda enquiry log.","%","%25"),"&amp;","%26")," ","%20"),"#","%23"),CHAR(10),"%0A"),"✉ Email "&amp;M100))</f>
        <v/>
      </c>
      <c r="W100" s="18" t="str">
        <f aca="false">IF(OR(P100="",IFERROR(INDEX(Staff!$E$4:$E$33,MATCH(P100,Staff!$D$4:$D$33,0)),"")=""),"",HYPERLINK("mailto:"&amp;IFERROR(INDEX(Staff!$E$4:$E$33,MATCH(P100,Staff!$D$4:$D$33,0)),"")&amp;"?subject="&amp;SUBSTITUTE(SUBSTITUTE(SUBSTITUTE(SUBSTITUTE(SUBSTITUTE("Parts quote "&amp;A100&amp;" allocated to you - "&amp;D100,"%","%25"),"&amp;","%26")," ","%20"),"#","%23"),CHAR(10),"%0A")&amp;"&amp;body="&amp;SUBSTITUTE(SUBSTITUTE(SUBSTITUTE(SUBSTITUTE(SUBSTITUTE("Ref: "&amp;A100&amp;CHAR(10)&amp;"Customer: "&amp;D100&amp;"  "&amp;E100&amp;CHAR(10)&amp;"Phone: "&amp;F100&amp;CHAR(10)&amp;"Email: "&amp;G100&amp;CHAR(10)&amp;"Prefers: "&amp;H100&amp;CHAR(10)&amp;"Enquiry: "&amp;LEFT(I100,600)&amp;CHAR(10)&amp;CHAR(10)&amp;"Sent from the Preston Mazda enquiry log.","%","%25"),"&amp;","%26")," ","%20"),"#","%23"),CHAR(10),"%0A"),"✉ Email "&amp;P100))</f>
        <v/>
      </c>
    </row>
    <row r="101" customFormat="false" ht="15" hidden="false" customHeight="false" outlineLevel="0" collapsed="false">
      <c r="A101" s="10" t="str">
        <f aca="false">IF(D101="","","E-"&amp;TEXT(ROW()-3,"0000"))</f>
        <v/>
      </c>
      <c r="B101" s="11"/>
      <c r="C101" s="12"/>
      <c r="D101" s="13"/>
      <c r="E101" s="14"/>
      <c r="F101" s="12"/>
      <c r="G101" s="12"/>
      <c r="H101" s="15"/>
      <c r="I101" s="16"/>
      <c r="J101" s="17" t="str">
        <f aca="false">IF(D101="","",HYPERLINK(Settings!$B$7&amp;A101&amp;".pdf","Open "&amp;A101&amp;".pdf"))</f>
        <v/>
      </c>
      <c r="K101" s="16"/>
      <c r="L101" s="12"/>
      <c r="M101" s="12"/>
      <c r="N101" s="15"/>
      <c r="O101" s="15"/>
      <c r="P101" s="12"/>
      <c r="Q101" s="15"/>
      <c r="R101" s="15"/>
      <c r="S101" s="15" t="str">
        <f aca="false">IF(D101="","",IF(AND(O101="Yes",OR(Q101&lt;&gt;"Yes",R101="Yes")),"Complete","Open"))</f>
        <v/>
      </c>
      <c r="T101" s="18" t="str">
        <f aca="false">IF(AND(Q101="Yes",R101&lt;&gt;"Yes"),HYPERLINK("mailto:"&amp;Settings!$B$5&amp;"?subject="&amp;SUBSTITUTE(SUBSTITUTE(SUBSTITUTE(SUBSTITUTE(SUBSTITUTE("Parts quote required - "&amp;D101&amp;" "&amp;E101,"%","%25"),"&amp;","%26")," ","%20"),"#","%23"),CHAR(10),"%0A")&amp;"&amp;body="&amp;SUBSTITUTE(SUBSTITUTE(SUBSTITUTE(SUBSTITUTE(SUBSTITUTE("Ref: "&amp;A101&amp;CHAR(10)&amp;"Customer: "&amp;D101&amp;"  "&amp;E101&amp;CHAR(10)&amp;"Phone: "&amp;F101&amp;CHAR(10)&amp;"Email: "&amp;G101&amp;CHAR(10)&amp;"Prefers: "&amp;H101&amp;CHAR(10)&amp;"Enquiry: "&amp;LEFT(I101,600)&amp;CHAR(10)&amp;CHAR(10)&amp;"Sent from the Preston Mazda enquiry log.","%","%25"),"&amp;","%26")," ","%20"),"#","%23"),CHAR(10),"%0A"),"✉ Email parts"),"")</f>
        <v/>
      </c>
      <c r="U101" s="18" t="str">
        <f aca="false">IF(AND(N101="Yes",O101&lt;&gt;"Yes"),HYPERLINK("mailto:"&amp;Settings!$B$6&amp;"?subject="&amp;SUBSTITUTE(SUBSTITUTE(SUBSTITUTE(SUBSTITUTE(SUBSTITUTE("Customer contact required - "&amp;D101&amp;" "&amp;E101,"%","%25"),"&amp;","%26")," ","%20"),"#","%23"),CHAR(10),"%0A")&amp;"&amp;body="&amp;SUBSTITUTE(SUBSTITUTE(SUBSTITUTE(SUBSTITUTE(SUBSTITUTE("Ref: "&amp;A101&amp;CHAR(10)&amp;"Customer: "&amp;D101&amp;"  "&amp;E101&amp;CHAR(10)&amp;"Phone: "&amp;F101&amp;CHAR(10)&amp;"Email: "&amp;G101&amp;CHAR(10)&amp;"Prefers: "&amp;H101&amp;CHAR(10)&amp;"Enquiry: "&amp;LEFT(I101,600)&amp;CHAR(10)&amp;CHAR(10)&amp;"Sent from the Preston Mazda enquiry log.","%","%25"),"&amp;","%26")," ","%20"),"#","%23"),CHAR(10),"%0A"),"✉ Email advisors"),"")</f>
        <v/>
      </c>
      <c r="V101" s="18" t="str">
        <f aca="false">IF(OR(M101="",IFERROR(INDEX(Staff!$B$4:$B$33,MATCH(M101,Staff!$A$4:$A$33,0)),"")=""),"",HYPERLINK("mailto:"&amp;IFERROR(INDEX(Staff!$B$4:$B$33,MATCH(M101,Staff!$A$4:$A$33,0)),"")&amp;"?subject="&amp;SUBSTITUTE(SUBSTITUTE(SUBSTITUTE(SUBSTITUTE(SUBSTITUTE("Enquiry "&amp;A101&amp;" allocated to you - "&amp;D101,"%","%25"),"&amp;","%26")," ","%20"),"#","%23"),CHAR(10),"%0A")&amp;"&amp;body="&amp;SUBSTITUTE(SUBSTITUTE(SUBSTITUTE(SUBSTITUTE(SUBSTITUTE("Ref: "&amp;A101&amp;CHAR(10)&amp;"Customer: "&amp;D101&amp;"  "&amp;E101&amp;CHAR(10)&amp;"Phone: "&amp;F101&amp;CHAR(10)&amp;"Email: "&amp;G101&amp;CHAR(10)&amp;"Prefers: "&amp;H101&amp;CHAR(10)&amp;"Enquiry: "&amp;LEFT(I101,600)&amp;CHAR(10)&amp;CHAR(10)&amp;"Sent from the Preston Mazda enquiry log.","%","%25"),"&amp;","%26")," ","%20"),"#","%23"),CHAR(10),"%0A"),"✉ Email "&amp;M101))</f>
        <v/>
      </c>
      <c r="W101" s="18" t="str">
        <f aca="false">IF(OR(P101="",IFERROR(INDEX(Staff!$E$4:$E$33,MATCH(P101,Staff!$D$4:$D$33,0)),"")=""),"",HYPERLINK("mailto:"&amp;IFERROR(INDEX(Staff!$E$4:$E$33,MATCH(P101,Staff!$D$4:$D$33,0)),"")&amp;"?subject="&amp;SUBSTITUTE(SUBSTITUTE(SUBSTITUTE(SUBSTITUTE(SUBSTITUTE("Parts quote "&amp;A101&amp;" allocated to you - "&amp;D101,"%","%25"),"&amp;","%26")," ","%20"),"#","%23"),CHAR(10),"%0A")&amp;"&amp;body="&amp;SUBSTITUTE(SUBSTITUTE(SUBSTITUTE(SUBSTITUTE(SUBSTITUTE("Ref: "&amp;A101&amp;CHAR(10)&amp;"Customer: "&amp;D101&amp;"  "&amp;E101&amp;CHAR(10)&amp;"Phone: "&amp;F101&amp;CHAR(10)&amp;"Email: "&amp;G101&amp;CHAR(10)&amp;"Prefers: "&amp;H101&amp;CHAR(10)&amp;"Enquiry: "&amp;LEFT(I101,600)&amp;CHAR(10)&amp;CHAR(10)&amp;"Sent from the Preston Mazda enquiry log.","%","%25"),"&amp;","%26")," ","%20"),"#","%23"),CHAR(10),"%0A"),"✉ Email "&amp;P101))</f>
        <v/>
      </c>
    </row>
    <row r="102" customFormat="false" ht="15" hidden="false" customHeight="false" outlineLevel="0" collapsed="false">
      <c r="A102" s="10" t="str">
        <f aca="false">IF(D102="","","E-"&amp;TEXT(ROW()-3,"0000"))</f>
        <v/>
      </c>
      <c r="B102" s="11"/>
      <c r="C102" s="12"/>
      <c r="D102" s="13"/>
      <c r="E102" s="14"/>
      <c r="F102" s="12"/>
      <c r="G102" s="12"/>
      <c r="H102" s="15"/>
      <c r="I102" s="16"/>
      <c r="J102" s="17" t="str">
        <f aca="false">IF(D102="","",HYPERLINK(Settings!$B$7&amp;A102&amp;".pdf","Open "&amp;A102&amp;".pdf"))</f>
        <v/>
      </c>
      <c r="K102" s="16"/>
      <c r="L102" s="12"/>
      <c r="M102" s="12"/>
      <c r="N102" s="15"/>
      <c r="O102" s="15"/>
      <c r="P102" s="12"/>
      <c r="Q102" s="15"/>
      <c r="R102" s="15"/>
      <c r="S102" s="15" t="str">
        <f aca="false">IF(D102="","",IF(AND(O102="Yes",OR(Q102&lt;&gt;"Yes",R102="Yes")),"Complete","Open"))</f>
        <v/>
      </c>
      <c r="T102" s="18" t="str">
        <f aca="false">IF(AND(Q102="Yes",R102&lt;&gt;"Yes"),HYPERLINK("mailto:"&amp;Settings!$B$5&amp;"?subject="&amp;SUBSTITUTE(SUBSTITUTE(SUBSTITUTE(SUBSTITUTE(SUBSTITUTE("Parts quote required - "&amp;D102&amp;" "&amp;E102,"%","%25"),"&amp;","%26")," ","%20"),"#","%23"),CHAR(10),"%0A")&amp;"&amp;body="&amp;SUBSTITUTE(SUBSTITUTE(SUBSTITUTE(SUBSTITUTE(SUBSTITUTE("Ref: "&amp;A102&amp;CHAR(10)&amp;"Customer: "&amp;D102&amp;"  "&amp;E102&amp;CHAR(10)&amp;"Phone: "&amp;F102&amp;CHAR(10)&amp;"Email: "&amp;G102&amp;CHAR(10)&amp;"Prefers: "&amp;H102&amp;CHAR(10)&amp;"Enquiry: "&amp;LEFT(I102,600)&amp;CHAR(10)&amp;CHAR(10)&amp;"Sent from the Preston Mazda enquiry log.","%","%25"),"&amp;","%26")," ","%20"),"#","%23"),CHAR(10),"%0A"),"✉ Email parts"),"")</f>
        <v/>
      </c>
      <c r="U102" s="18" t="str">
        <f aca="false">IF(AND(N102="Yes",O102&lt;&gt;"Yes"),HYPERLINK("mailto:"&amp;Settings!$B$6&amp;"?subject="&amp;SUBSTITUTE(SUBSTITUTE(SUBSTITUTE(SUBSTITUTE(SUBSTITUTE("Customer contact required - "&amp;D102&amp;" "&amp;E102,"%","%25"),"&amp;","%26")," ","%20"),"#","%23"),CHAR(10),"%0A")&amp;"&amp;body="&amp;SUBSTITUTE(SUBSTITUTE(SUBSTITUTE(SUBSTITUTE(SUBSTITUTE("Ref: "&amp;A102&amp;CHAR(10)&amp;"Customer: "&amp;D102&amp;"  "&amp;E102&amp;CHAR(10)&amp;"Phone: "&amp;F102&amp;CHAR(10)&amp;"Email: "&amp;G102&amp;CHAR(10)&amp;"Prefers: "&amp;H102&amp;CHAR(10)&amp;"Enquiry: "&amp;LEFT(I102,600)&amp;CHAR(10)&amp;CHAR(10)&amp;"Sent from the Preston Mazda enquiry log.","%","%25"),"&amp;","%26")," ","%20"),"#","%23"),CHAR(10),"%0A"),"✉ Email advisors"),"")</f>
        <v/>
      </c>
      <c r="V102" s="18" t="str">
        <f aca="false">IF(OR(M102="",IFERROR(INDEX(Staff!$B$4:$B$33,MATCH(M102,Staff!$A$4:$A$33,0)),"")=""),"",HYPERLINK("mailto:"&amp;IFERROR(INDEX(Staff!$B$4:$B$33,MATCH(M102,Staff!$A$4:$A$33,0)),"")&amp;"?subject="&amp;SUBSTITUTE(SUBSTITUTE(SUBSTITUTE(SUBSTITUTE(SUBSTITUTE("Enquiry "&amp;A102&amp;" allocated to you - "&amp;D102,"%","%25"),"&amp;","%26")," ","%20"),"#","%23"),CHAR(10),"%0A")&amp;"&amp;body="&amp;SUBSTITUTE(SUBSTITUTE(SUBSTITUTE(SUBSTITUTE(SUBSTITUTE("Ref: "&amp;A102&amp;CHAR(10)&amp;"Customer: "&amp;D102&amp;"  "&amp;E102&amp;CHAR(10)&amp;"Phone: "&amp;F102&amp;CHAR(10)&amp;"Email: "&amp;G102&amp;CHAR(10)&amp;"Prefers: "&amp;H102&amp;CHAR(10)&amp;"Enquiry: "&amp;LEFT(I102,600)&amp;CHAR(10)&amp;CHAR(10)&amp;"Sent from the Preston Mazda enquiry log.","%","%25"),"&amp;","%26")," ","%20"),"#","%23"),CHAR(10),"%0A"),"✉ Email "&amp;M102))</f>
        <v/>
      </c>
      <c r="W102" s="18" t="str">
        <f aca="false">IF(OR(P102="",IFERROR(INDEX(Staff!$E$4:$E$33,MATCH(P102,Staff!$D$4:$D$33,0)),"")=""),"",HYPERLINK("mailto:"&amp;IFERROR(INDEX(Staff!$E$4:$E$33,MATCH(P102,Staff!$D$4:$D$33,0)),"")&amp;"?subject="&amp;SUBSTITUTE(SUBSTITUTE(SUBSTITUTE(SUBSTITUTE(SUBSTITUTE("Parts quote "&amp;A102&amp;" allocated to you - "&amp;D102,"%","%25"),"&amp;","%26")," ","%20"),"#","%23"),CHAR(10),"%0A")&amp;"&amp;body="&amp;SUBSTITUTE(SUBSTITUTE(SUBSTITUTE(SUBSTITUTE(SUBSTITUTE("Ref: "&amp;A102&amp;CHAR(10)&amp;"Customer: "&amp;D102&amp;"  "&amp;E102&amp;CHAR(10)&amp;"Phone: "&amp;F102&amp;CHAR(10)&amp;"Email: "&amp;G102&amp;CHAR(10)&amp;"Prefers: "&amp;H102&amp;CHAR(10)&amp;"Enquiry: "&amp;LEFT(I102,600)&amp;CHAR(10)&amp;CHAR(10)&amp;"Sent from the Preston Mazda enquiry log.","%","%25"),"&amp;","%26")," ","%20"),"#","%23"),CHAR(10),"%0A"),"✉ Email "&amp;P102))</f>
        <v/>
      </c>
    </row>
    <row r="103" customFormat="false" ht="15" hidden="false" customHeight="false" outlineLevel="0" collapsed="false">
      <c r="A103" s="10" t="str">
        <f aca="false">IF(D103="","","E-"&amp;TEXT(ROW()-3,"0000"))</f>
        <v/>
      </c>
      <c r="B103" s="11"/>
      <c r="C103" s="12"/>
      <c r="D103" s="13"/>
      <c r="E103" s="14"/>
      <c r="F103" s="12"/>
      <c r="G103" s="12"/>
      <c r="H103" s="15"/>
      <c r="I103" s="16"/>
      <c r="J103" s="17" t="str">
        <f aca="false">IF(D103="","",HYPERLINK(Settings!$B$7&amp;A103&amp;".pdf","Open "&amp;A103&amp;".pdf"))</f>
        <v/>
      </c>
      <c r="K103" s="16"/>
      <c r="L103" s="12"/>
      <c r="M103" s="12"/>
      <c r="N103" s="15"/>
      <c r="O103" s="15"/>
      <c r="P103" s="12"/>
      <c r="Q103" s="15"/>
      <c r="R103" s="15"/>
      <c r="S103" s="15" t="str">
        <f aca="false">IF(D103="","",IF(AND(O103="Yes",OR(Q103&lt;&gt;"Yes",R103="Yes")),"Complete","Open"))</f>
        <v/>
      </c>
      <c r="T103" s="18" t="str">
        <f aca="false">IF(AND(Q103="Yes",R103&lt;&gt;"Yes"),HYPERLINK("mailto:"&amp;Settings!$B$5&amp;"?subject="&amp;SUBSTITUTE(SUBSTITUTE(SUBSTITUTE(SUBSTITUTE(SUBSTITUTE("Parts quote required - "&amp;D103&amp;" "&amp;E103,"%","%25"),"&amp;","%26")," ","%20"),"#","%23"),CHAR(10),"%0A")&amp;"&amp;body="&amp;SUBSTITUTE(SUBSTITUTE(SUBSTITUTE(SUBSTITUTE(SUBSTITUTE("Ref: "&amp;A103&amp;CHAR(10)&amp;"Customer: "&amp;D103&amp;"  "&amp;E103&amp;CHAR(10)&amp;"Phone: "&amp;F103&amp;CHAR(10)&amp;"Email: "&amp;G103&amp;CHAR(10)&amp;"Prefers: "&amp;H103&amp;CHAR(10)&amp;"Enquiry: "&amp;LEFT(I103,600)&amp;CHAR(10)&amp;CHAR(10)&amp;"Sent from the Preston Mazda enquiry log.","%","%25"),"&amp;","%26")," ","%20"),"#","%23"),CHAR(10),"%0A"),"✉ Email parts"),"")</f>
        <v/>
      </c>
      <c r="U103" s="18" t="str">
        <f aca="false">IF(AND(N103="Yes",O103&lt;&gt;"Yes"),HYPERLINK("mailto:"&amp;Settings!$B$6&amp;"?subject="&amp;SUBSTITUTE(SUBSTITUTE(SUBSTITUTE(SUBSTITUTE(SUBSTITUTE("Customer contact required - "&amp;D103&amp;" "&amp;E103,"%","%25"),"&amp;","%26")," ","%20"),"#","%23"),CHAR(10),"%0A")&amp;"&amp;body="&amp;SUBSTITUTE(SUBSTITUTE(SUBSTITUTE(SUBSTITUTE(SUBSTITUTE("Ref: "&amp;A103&amp;CHAR(10)&amp;"Customer: "&amp;D103&amp;"  "&amp;E103&amp;CHAR(10)&amp;"Phone: "&amp;F103&amp;CHAR(10)&amp;"Email: "&amp;G103&amp;CHAR(10)&amp;"Prefers: "&amp;H103&amp;CHAR(10)&amp;"Enquiry: "&amp;LEFT(I103,600)&amp;CHAR(10)&amp;CHAR(10)&amp;"Sent from the Preston Mazda enquiry log.","%","%25"),"&amp;","%26")," ","%20"),"#","%23"),CHAR(10),"%0A"),"✉ Email advisors"),"")</f>
        <v/>
      </c>
      <c r="V103" s="18" t="str">
        <f aca="false">IF(OR(M103="",IFERROR(INDEX(Staff!$B$4:$B$33,MATCH(M103,Staff!$A$4:$A$33,0)),"")=""),"",HYPERLINK("mailto:"&amp;IFERROR(INDEX(Staff!$B$4:$B$33,MATCH(M103,Staff!$A$4:$A$33,0)),"")&amp;"?subject="&amp;SUBSTITUTE(SUBSTITUTE(SUBSTITUTE(SUBSTITUTE(SUBSTITUTE("Enquiry "&amp;A103&amp;" allocated to you - "&amp;D103,"%","%25"),"&amp;","%26")," ","%20"),"#","%23"),CHAR(10),"%0A")&amp;"&amp;body="&amp;SUBSTITUTE(SUBSTITUTE(SUBSTITUTE(SUBSTITUTE(SUBSTITUTE("Ref: "&amp;A103&amp;CHAR(10)&amp;"Customer: "&amp;D103&amp;"  "&amp;E103&amp;CHAR(10)&amp;"Phone: "&amp;F103&amp;CHAR(10)&amp;"Email: "&amp;G103&amp;CHAR(10)&amp;"Prefers: "&amp;H103&amp;CHAR(10)&amp;"Enquiry: "&amp;LEFT(I103,600)&amp;CHAR(10)&amp;CHAR(10)&amp;"Sent from the Preston Mazda enquiry log.","%","%25"),"&amp;","%26")," ","%20"),"#","%23"),CHAR(10),"%0A"),"✉ Email "&amp;M103))</f>
        <v/>
      </c>
      <c r="W103" s="18" t="str">
        <f aca="false">IF(OR(P103="",IFERROR(INDEX(Staff!$E$4:$E$33,MATCH(P103,Staff!$D$4:$D$33,0)),"")=""),"",HYPERLINK("mailto:"&amp;IFERROR(INDEX(Staff!$E$4:$E$33,MATCH(P103,Staff!$D$4:$D$33,0)),"")&amp;"?subject="&amp;SUBSTITUTE(SUBSTITUTE(SUBSTITUTE(SUBSTITUTE(SUBSTITUTE("Parts quote "&amp;A103&amp;" allocated to you - "&amp;D103,"%","%25"),"&amp;","%26")," ","%20"),"#","%23"),CHAR(10),"%0A")&amp;"&amp;body="&amp;SUBSTITUTE(SUBSTITUTE(SUBSTITUTE(SUBSTITUTE(SUBSTITUTE("Ref: "&amp;A103&amp;CHAR(10)&amp;"Customer: "&amp;D103&amp;"  "&amp;E103&amp;CHAR(10)&amp;"Phone: "&amp;F103&amp;CHAR(10)&amp;"Email: "&amp;G103&amp;CHAR(10)&amp;"Prefers: "&amp;H103&amp;CHAR(10)&amp;"Enquiry: "&amp;LEFT(I103,600)&amp;CHAR(10)&amp;CHAR(10)&amp;"Sent from the Preston Mazda enquiry log.","%","%25"),"&amp;","%26")," ","%20"),"#","%23"),CHAR(10),"%0A"),"✉ Email "&amp;P103))</f>
        <v/>
      </c>
    </row>
    <row r="104" customFormat="false" ht="15" hidden="false" customHeight="false" outlineLevel="0" collapsed="false">
      <c r="A104" s="10" t="str">
        <f aca="false">IF(D104="","","E-"&amp;TEXT(ROW()-3,"0000"))</f>
        <v/>
      </c>
      <c r="B104" s="11"/>
      <c r="C104" s="12"/>
      <c r="D104" s="13"/>
      <c r="E104" s="14"/>
      <c r="F104" s="12"/>
      <c r="G104" s="12"/>
      <c r="H104" s="15"/>
      <c r="I104" s="16"/>
      <c r="J104" s="17" t="str">
        <f aca="false">IF(D104="","",HYPERLINK(Settings!$B$7&amp;A104&amp;".pdf","Open "&amp;A104&amp;".pdf"))</f>
        <v/>
      </c>
      <c r="K104" s="16"/>
      <c r="L104" s="12"/>
      <c r="M104" s="12"/>
      <c r="N104" s="15"/>
      <c r="O104" s="15"/>
      <c r="P104" s="12"/>
      <c r="Q104" s="15"/>
      <c r="R104" s="15"/>
      <c r="S104" s="15" t="str">
        <f aca="false">IF(D104="","",IF(AND(O104="Yes",OR(Q104&lt;&gt;"Yes",R104="Yes")),"Complete","Open"))</f>
        <v/>
      </c>
      <c r="T104" s="18" t="str">
        <f aca="false">IF(AND(Q104="Yes",R104&lt;&gt;"Yes"),HYPERLINK("mailto:"&amp;Settings!$B$5&amp;"?subject="&amp;SUBSTITUTE(SUBSTITUTE(SUBSTITUTE(SUBSTITUTE(SUBSTITUTE("Parts quote required - "&amp;D104&amp;" "&amp;E104,"%","%25"),"&amp;","%26")," ","%20"),"#","%23"),CHAR(10),"%0A")&amp;"&amp;body="&amp;SUBSTITUTE(SUBSTITUTE(SUBSTITUTE(SUBSTITUTE(SUBSTITUTE("Ref: "&amp;A104&amp;CHAR(10)&amp;"Customer: "&amp;D104&amp;"  "&amp;E104&amp;CHAR(10)&amp;"Phone: "&amp;F104&amp;CHAR(10)&amp;"Email: "&amp;G104&amp;CHAR(10)&amp;"Prefers: "&amp;H104&amp;CHAR(10)&amp;"Enquiry: "&amp;LEFT(I104,600)&amp;CHAR(10)&amp;CHAR(10)&amp;"Sent from the Preston Mazda enquiry log.","%","%25"),"&amp;","%26")," ","%20"),"#","%23"),CHAR(10),"%0A"),"✉ Email parts"),"")</f>
        <v/>
      </c>
      <c r="U104" s="18" t="str">
        <f aca="false">IF(AND(N104="Yes",O104&lt;&gt;"Yes"),HYPERLINK("mailto:"&amp;Settings!$B$6&amp;"?subject="&amp;SUBSTITUTE(SUBSTITUTE(SUBSTITUTE(SUBSTITUTE(SUBSTITUTE("Customer contact required - "&amp;D104&amp;" "&amp;E104,"%","%25"),"&amp;","%26")," ","%20"),"#","%23"),CHAR(10),"%0A")&amp;"&amp;body="&amp;SUBSTITUTE(SUBSTITUTE(SUBSTITUTE(SUBSTITUTE(SUBSTITUTE("Ref: "&amp;A104&amp;CHAR(10)&amp;"Customer: "&amp;D104&amp;"  "&amp;E104&amp;CHAR(10)&amp;"Phone: "&amp;F104&amp;CHAR(10)&amp;"Email: "&amp;G104&amp;CHAR(10)&amp;"Prefers: "&amp;H104&amp;CHAR(10)&amp;"Enquiry: "&amp;LEFT(I104,600)&amp;CHAR(10)&amp;CHAR(10)&amp;"Sent from the Preston Mazda enquiry log.","%","%25"),"&amp;","%26")," ","%20"),"#","%23"),CHAR(10),"%0A"),"✉ Email advisors"),"")</f>
        <v/>
      </c>
      <c r="V104" s="18" t="str">
        <f aca="false">IF(OR(M104="",IFERROR(INDEX(Staff!$B$4:$B$33,MATCH(M104,Staff!$A$4:$A$33,0)),"")=""),"",HYPERLINK("mailto:"&amp;IFERROR(INDEX(Staff!$B$4:$B$33,MATCH(M104,Staff!$A$4:$A$33,0)),"")&amp;"?subject="&amp;SUBSTITUTE(SUBSTITUTE(SUBSTITUTE(SUBSTITUTE(SUBSTITUTE("Enquiry "&amp;A104&amp;" allocated to you - "&amp;D104,"%","%25"),"&amp;","%26")," ","%20"),"#","%23"),CHAR(10),"%0A")&amp;"&amp;body="&amp;SUBSTITUTE(SUBSTITUTE(SUBSTITUTE(SUBSTITUTE(SUBSTITUTE("Ref: "&amp;A104&amp;CHAR(10)&amp;"Customer: "&amp;D104&amp;"  "&amp;E104&amp;CHAR(10)&amp;"Phone: "&amp;F104&amp;CHAR(10)&amp;"Email: "&amp;G104&amp;CHAR(10)&amp;"Prefers: "&amp;H104&amp;CHAR(10)&amp;"Enquiry: "&amp;LEFT(I104,600)&amp;CHAR(10)&amp;CHAR(10)&amp;"Sent from the Preston Mazda enquiry log.","%","%25"),"&amp;","%26")," ","%20"),"#","%23"),CHAR(10),"%0A"),"✉ Email "&amp;M104))</f>
        <v/>
      </c>
      <c r="W104" s="18" t="str">
        <f aca="false">IF(OR(P104="",IFERROR(INDEX(Staff!$E$4:$E$33,MATCH(P104,Staff!$D$4:$D$33,0)),"")=""),"",HYPERLINK("mailto:"&amp;IFERROR(INDEX(Staff!$E$4:$E$33,MATCH(P104,Staff!$D$4:$D$33,0)),"")&amp;"?subject="&amp;SUBSTITUTE(SUBSTITUTE(SUBSTITUTE(SUBSTITUTE(SUBSTITUTE("Parts quote "&amp;A104&amp;" allocated to you - "&amp;D104,"%","%25"),"&amp;","%26")," ","%20"),"#","%23"),CHAR(10),"%0A")&amp;"&amp;body="&amp;SUBSTITUTE(SUBSTITUTE(SUBSTITUTE(SUBSTITUTE(SUBSTITUTE("Ref: "&amp;A104&amp;CHAR(10)&amp;"Customer: "&amp;D104&amp;"  "&amp;E104&amp;CHAR(10)&amp;"Phone: "&amp;F104&amp;CHAR(10)&amp;"Email: "&amp;G104&amp;CHAR(10)&amp;"Prefers: "&amp;H104&amp;CHAR(10)&amp;"Enquiry: "&amp;LEFT(I104,600)&amp;CHAR(10)&amp;CHAR(10)&amp;"Sent from the Preston Mazda enquiry log.","%","%25"),"&amp;","%26")," ","%20"),"#","%23"),CHAR(10),"%0A"),"✉ Email "&amp;P104))</f>
        <v/>
      </c>
    </row>
    <row r="105" customFormat="false" ht="15" hidden="false" customHeight="false" outlineLevel="0" collapsed="false">
      <c r="A105" s="10" t="str">
        <f aca="false">IF(D105="","","E-"&amp;TEXT(ROW()-3,"0000"))</f>
        <v/>
      </c>
      <c r="B105" s="11"/>
      <c r="C105" s="12"/>
      <c r="D105" s="13"/>
      <c r="E105" s="14"/>
      <c r="F105" s="12"/>
      <c r="G105" s="12"/>
      <c r="H105" s="15"/>
      <c r="I105" s="16"/>
      <c r="J105" s="17" t="str">
        <f aca="false">IF(D105="","",HYPERLINK(Settings!$B$7&amp;A105&amp;".pdf","Open "&amp;A105&amp;".pdf"))</f>
        <v/>
      </c>
      <c r="K105" s="16"/>
      <c r="L105" s="12"/>
      <c r="M105" s="12"/>
      <c r="N105" s="15"/>
      <c r="O105" s="15"/>
      <c r="P105" s="12"/>
      <c r="Q105" s="15"/>
      <c r="R105" s="15"/>
      <c r="S105" s="15" t="str">
        <f aca="false">IF(D105="","",IF(AND(O105="Yes",OR(Q105&lt;&gt;"Yes",R105="Yes")),"Complete","Open"))</f>
        <v/>
      </c>
      <c r="T105" s="18" t="str">
        <f aca="false">IF(AND(Q105="Yes",R105&lt;&gt;"Yes"),HYPERLINK("mailto:"&amp;Settings!$B$5&amp;"?subject="&amp;SUBSTITUTE(SUBSTITUTE(SUBSTITUTE(SUBSTITUTE(SUBSTITUTE("Parts quote required - "&amp;D105&amp;" "&amp;E105,"%","%25"),"&amp;","%26")," ","%20"),"#","%23"),CHAR(10),"%0A")&amp;"&amp;body="&amp;SUBSTITUTE(SUBSTITUTE(SUBSTITUTE(SUBSTITUTE(SUBSTITUTE("Ref: "&amp;A105&amp;CHAR(10)&amp;"Customer: "&amp;D105&amp;"  "&amp;E105&amp;CHAR(10)&amp;"Phone: "&amp;F105&amp;CHAR(10)&amp;"Email: "&amp;G105&amp;CHAR(10)&amp;"Prefers: "&amp;H105&amp;CHAR(10)&amp;"Enquiry: "&amp;LEFT(I105,600)&amp;CHAR(10)&amp;CHAR(10)&amp;"Sent from the Preston Mazda enquiry log.","%","%25"),"&amp;","%26")," ","%20"),"#","%23"),CHAR(10),"%0A"),"✉ Email parts"),"")</f>
        <v/>
      </c>
      <c r="U105" s="18" t="str">
        <f aca="false">IF(AND(N105="Yes",O105&lt;&gt;"Yes"),HYPERLINK("mailto:"&amp;Settings!$B$6&amp;"?subject="&amp;SUBSTITUTE(SUBSTITUTE(SUBSTITUTE(SUBSTITUTE(SUBSTITUTE("Customer contact required - "&amp;D105&amp;" "&amp;E105,"%","%25"),"&amp;","%26")," ","%20"),"#","%23"),CHAR(10),"%0A")&amp;"&amp;body="&amp;SUBSTITUTE(SUBSTITUTE(SUBSTITUTE(SUBSTITUTE(SUBSTITUTE("Ref: "&amp;A105&amp;CHAR(10)&amp;"Customer: "&amp;D105&amp;"  "&amp;E105&amp;CHAR(10)&amp;"Phone: "&amp;F105&amp;CHAR(10)&amp;"Email: "&amp;G105&amp;CHAR(10)&amp;"Prefers: "&amp;H105&amp;CHAR(10)&amp;"Enquiry: "&amp;LEFT(I105,600)&amp;CHAR(10)&amp;CHAR(10)&amp;"Sent from the Preston Mazda enquiry log.","%","%25"),"&amp;","%26")," ","%20"),"#","%23"),CHAR(10),"%0A"),"✉ Email advisors"),"")</f>
        <v/>
      </c>
      <c r="V105" s="18" t="str">
        <f aca="false">IF(OR(M105="",IFERROR(INDEX(Staff!$B$4:$B$33,MATCH(M105,Staff!$A$4:$A$33,0)),"")=""),"",HYPERLINK("mailto:"&amp;IFERROR(INDEX(Staff!$B$4:$B$33,MATCH(M105,Staff!$A$4:$A$33,0)),"")&amp;"?subject="&amp;SUBSTITUTE(SUBSTITUTE(SUBSTITUTE(SUBSTITUTE(SUBSTITUTE("Enquiry "&amp;A105&amp;" allocated to you - "&amp;D105,"%","%25"),"&amp;","%26")," ","%20"),"#","%23"),CHAR(10),"%0A")&amp;"&amp;body="&amp;SUBSTITUTE(SUBSTITUTE(SUBSTITUTE(SUBSTITUTE(SUBSTITUTE("Ref: "&amp;A105&amp;CHAR(10)&amp;"Customer: "&amp;D105&amp;"  "&amp;E105&amp;CHAR(10)&amp;"Phone: "&amp;F105&amp;CHAR(10)&amp;"Email: "&amp;G105&amp;CHAR(10)&amp;"Prefers: "&amp;H105&amp;CHAR(10)&amp;"Enquiry: "&amp;LEFT(I105,600)&amp;CHAR(10)&amp;CHAR(10)&amp;"Sent from the Preston Mazda enquiry log.","%","%25"),"&amp;","%26")," ","%20"),"#","%23"),CHAR(10),"%0A"),"✉ Email "&amp;M105))</f>
        <v/>
      </c>
      <c r="W105" s="18" t="str">
        <f aca="false">IF(OR(P105="",IFERROR(INDEX(Staff!$E$4:$E$33,MATCH(P105,Staff!$D$4:$D$33,0)),"")=""),"",HYPERLINK("mailto:"&amp;IFERROR(INDEX(Staff!$E$4:$E$33,MATCH(P105,Staff!$D$4:$D$33,0)),"")&amp;"?subject="&amp;SUBSTITUTE(SUBSTITUTE(SUBSTITUTE(SUBSTITUTE(SUBSTITUTE("Parts quote "&amp;A105&amp;" allocated to you - "&amp;D105,"%","%25"),"&amp;","%26")," ","%20"),"#","%23"),CHAR(10),"%0A")&amp;"&amp;body="&amp;SUBSTITUTE(SUBSTITUTE(SUBSTITUTE(SUBSTITUTE(SUBSTITUTE("Ref: "&amp;A105&amp;CHAR(10)&amp;"Customer: "&amp;D105&amp;"  "&amp;E105&amp;CHAR(10)&amp;"Phone: "&amp;F105&amp;CHAR(10)&amp;"Email: "&amp;G105&amp;CHAR(10)&amp;"Prefers: "&amp;H105&amp;CHAR(10)&amp;"Enquiry: "&amp;LEFT(I105,600)&amp;CHAR(10)&amp;CHAR(10)&amp;"Sent from the Preston Mazda enquiry log.","%","%25"),"&amp;","%26")," ","%20"),"#","%23"),CHAR(10),"%0A"),"✉ Email "&amp;P105))</f>
        <v/>
      </c>
    </row>
    <row r="106" customFormat="false" ht="15" hidden="false" customHeight="false" outlineLevel="0" collapsed="false">
      <c r="A106" s="10" t="str">
        <f aca="false">IF(D106="","","E-"&amp;TEXT(ROW()-3,"0000"))</f>
        <v/>
      </c>
      <c r="B106" s="11"/>
      <c r="C106" s="12"/>
      <c r="D106" s="13"/>
      <c r="E106" s="14"/>
      <c r="F106" s="12"/>
      <c r="G106" s="12"/>
      <c r="H106" s="15"/>
      <c r="I106" s="16"/>
      <c r="J106" s="17" t="str">
        <f aca="false">IF(D106="","",HYPERLINK(Settings!$B$7&amp;A106&amp;".pdf","Open "&amp;A106&amp;".pdf"))</f>
        <v/>
      </c>
      <c r="K106" s="16"/>
      <c r="L106" s="12"/>
      <c r="M106" s="12"/>
      <c r="N106" s="15"/>
      <c r="O106" s="15"/>
      <c r="P106" s="12"/>
      <c r="Q106" s="15"/>
      <c r="R106" s="15"/>
      <c r="S106" s="15" t="str">
        <f aca="false">IF(D106="","",IF(AND(O106="Yes",OR(Q106&lt;&gt;"Yes",R106="Yes")),"Complete","Open"))</f>
        <v/>
      </c>
      <c r="T106" s="18" t="str">
        <f aca="false">IF(AND(Q106="Yes",R106&lt;&gt;"Yes"),HYPERLINK("mailto:"&amp;Settings!$B$5&amp;"?subject="&amp;SUBSTITUTE(SUBSTITUTE(SUBSTITUTE(SUBSTITUTE(SUBSTITUTE("Parts quote required - "&amp;D106&amp;" "&amp;E106,"%","%25"),"&amp;","%26")," ","%20"),"#","%23"),CHAR(10),"%0A")&amp;"&amp;body="&amp;SUBSTITUTE(SUBSTITUTE(SUBSTITUTE(SUBSTITUTE(SUBSTITUTE("Ref: "&amp;A106&amp;CHAR(10)&amp;"Customer: "&amp;D106&amp;"  "&amp;E106&amp;CHAR(10)&amp;"Phone: "&amp;F106&amp;CHAR(10)&amp;"Email: "&amp;G106&amp;CHAR(10)&amp;"Prefers: "&amp;H106&amp;CHAR(10)&amp;"Enquiry: "&amp;LEFT(I106,600)&amp;CHAR(10)&amp;CHAR(10)&amp;"Sent from the Preston Mazda enquiry log.","%","%25"),"&amp;","%26")," ","%20"),"#","%23"),CHAR(10),"%0A"),"✉ Email parts"),"")</f>
        <v/>
      </c>
      <c r="U106" s="18" t="str">
        <f aca="false">IF(AND(N106="Yes",O106&lt;&gt;"Yes"),HYPERLINK("mailto:"&amp;Settings!$B$6&amp;"?subject="&amp;SUBSTITUTE(SUBSTITUTE(SUBSTITUTE(SUBSTITUTE(SUBSTITUTE("Customer contact required - "&amp;D106&amp;" "&amp;E106,"%","%25"),"&amp;","%26")," ","%20"),"#","%23"),CHAR(10),"%0A")&amp;"&amp;body="&amp;SUBSTITUTE(SUBSTITUTE(SUBSTITUTE(SUBSTITUTE(SUBSTITUTE("Ref: "&amp;A106&amp;CHAR(10)&amp;"Customer: "&amp;D106&amp;"  "&amp;E106&amp;CHAR(10)&amp;"Phone: "&amp;F106&amp;CHAR(10)&amp;"Email: "&amp;G106&amp;CHAR(10)&amp;"Prefers: "&amp;H106&amp;CHAR(10)&amp;"Enquiry: "&amp;LEFT(I106,600)&amp;CHAR(10)&amp;CHAR(10)&amp;"Sent from the Preston Mazda enquiry log.","%","%25"),"&amp;","%26")," ","%20"),"#","%23"),CHAR(10),"%0A"),"✉ Email advisors"),"")</f>
        <v/>
      </c>
      <c r="V106" s="18" t="str">
        <f aca="false">IF(OR(M106="",IFERROR(INDEX(Staff!$B$4:$B$33,MATCH(M106,Staff!$A$4:$A$33,0)),"")=""),"",HYPERLINK("mailto:"&amp;IFERROR(INDEX(Staff!$B$4:$B$33,MATCH(M106,Staff!$A$4:$A$33,0)),"")&amp;"?subject="&amp;SUBSTITUTE(SUBSTITUTE(SUBSTITUTE(SUBSTITUTE(SUBSTITUTE("Enquiry "&amp;A106&amp;" allocated to you - "&amp;D106,"%","%25"),"&amp;","%26")," ","%20"),"#","%23"),CHAR(10),"%0A")&amp;"&amp;body="&amp;SUBSTITUTE(SUBSTITUTE(SUBSTITUTE(SUBSTITUTE(SUBSTITUTE("Ref: "&amp;A106&amp;CHAR(10)&amp;"Customer: "&amp;D106&amp;"  "&amp;E106&amp;CHAR(10)&amp;"Phone: "&amp;F106&amp;CHAR(10)&amp;"Email: "&amp;G106&amp;CHAR(10)&amp;"Prefers: "&amp;H106&amp;CHAR(10)&amp;"Enquiry: "&amp;LEFT(I106,600)&amp;CHAR(10)&amp;CHAR(10)&amp;"Sent from the Preston Mazda enquiry log.","%","%25"),"&amp;","%26")," ","%20"),"#","%23"),CHAR(10),"%0A"),"✉ Email "&amp;M106))</f>
        <v/>
      </c>
      <c r="W106" s="18" t="str">
        <f aca="false">IF(OR(P106="",IFERROR(INDEX(Staff!$E$4:$E$33,MATCH(P106,Staff!$D$4:$D$33,0)),"")=""),"",HYPERLINK("mailto:"&amp;IFERROR(INDEX(Staff!$E$4:$E$33,MATCH(P106,Staff!$D$4:$D$33,0)),"")&amp;"?subject="&amp;SUBSTITUTE(SUBSTITUTE(SUBSTITUTE(SUBSTITUTE(SUBSTITUTE("Parts quote "&amp;A106&amp;" allocated to you - "&amp;D106,"%","%25"),"&amp;","%26")," ","%20"),"#","%23"),CHAR(10),"%0A")&amp;"&amp;body="&amp;SUBSTITUTE(SUBSTITUTE(SUBSTITUTE(SUBSTITUTE(SUBSTITUTE("Ref: "&amp;A106&amp;CHAR(10)&amp;"Customer: "&amp;D106&amp;"  "&amp;E106&amp;CHAR(10)&amp;"Phone: "&amp;F106&amp;CHAR(10)&amp;"Email: "&amp;G106&amp;CHAR(10)&amp;"Prefers: "&amp;H106&amp;CHAR(10)&amp;"Enquiry: "&amp;LEFT(I106,600)&amp;CHAR(10)&amp;CHAR(10)&amp;"Sent from the Preston Mazda enquiry log.","%","%25"),"&amp;","%26")," ","%20"),"#","%23"),CHAR(10),"%0A"),"✉ Email "&amp;P106))</f>
        <v/>
      </c>
    </row>
    <row r="107" customFormat="false" ht="15" hidden="false" customHeight="false" outlineLevel="0" collapsed="false">
      <c r="A107" s="10" t="str">
        <f aca="false">IF(D107="","","E-"&amp;TEXT(ROW()-3,"0000"))</f>
        <v/>
      </c>
      <c r="B107" s="11"/>
      <c r="C107" s="12"/>
      <c r="D107" s="13"/>
      <c r="E107" s="14"/>
      <c r="F107" s="12"/>
      <c r="G107" s="12"/>
      <c r="H107" s="15"/>
      <c r="I107" s="16"/>
      <c r="J107" s="17" t="str">
        <f aca="false">IF(D107="","",HYPERLINK(Settings!$B$7&amp;A107&amp;".pdf","Open "&amp;A107&amp;".pdf"))</f>
        <v/>
      </c>
      <c r="K107" s="16"/>
      <c r="L107" s="12"/>
      <c r="M107" s="12"/>
      <c r="N107" s="15"/>
      <c r="O107" s="15"/>
      <c r="P107" s="12"/>
      <c r="Q107" s="15"/>
      <c r="R107" s="15"/>
      <c r="S107" s="15" t="str">
        <f aca="false">IF(D107="","",IF(AND(O107="Yes",OR(Q107&lt;&gt;"Yes",R107="Yes")),"Complete","Open"))</f>
        <v/>
      </c>
      <c r="T107" s="18" t="str">
        <f aca="false">IF(AND(Q107="Yes",R107&lt;&gt;"Yes"),HYPERLINK("mailto:"&amp;Settings!$B$5&amp;"?subject="&amp;SUBSTITUTE(SUBSTITUTE(SUBSTITUTE(SUBSTITUTE(SUBSTITUTE("Parts quote required - "&amp;D107&amp;" "&amp;E107,"%","%25"),"&amp;","%26")," ","%20"),"#","%23"),CHAR(10),"%0A")&amp;"&amp;body="&amp;SUBSTITUTE(SUBSTITUTE(SUBSTITUTE(SUBSTITUTE(SUBSTITUTE("Ref: "&amp;A107&amp;CHAR(10)&amp;"Customer: "&amp;D107&amp;"  "&amp;E107&amp;CHAR(10)&amp;"Phone: "&amp;F107&amp;CHAR(10)&amp;"Email: "&amp;G107&amp;CHAR(10)&amp;"Prefers: "&amp;H107&amp;CHAR(10)&amp;"Enquiry: "&amp;LEFT(I107,600)&amp;CHAR(10)&amp;CHAR(10)&amp;"Sent from the Preston Mazda enquiry log.","%","%25"),"&amp;","%26")," ","%20"),"#","%23"),CHAR(10),"%0A"),"✉ Email parts"),"")</f>
        <v/>
      </c>
      <c r="U107" s="18" t="str">
        <f aca="false">IF(AND(N107="Yes",O107&lt;&gt;"Yes"),HYPERLINK("mailto:"&amp;Settings!$B$6&amp;"?subject="&amp;SUBSTITUTE(SUBSTITUTE(SUBSTITUTE(SUBSTITUTE(SUBSTITUTE("Customer contact required - "&amp;D107&amp;" "&amp;E107,"%","%25"),"&amp;","%26")," ","%20"),"#","%23"),CHAR(10),"%0A")&amp;"&amp;body="&amp;SUBSTITUTE(SUBSTITUTE(SUBSTITUTE(SUBSTITUTE(SUBSTITUTE("Ref: "&amp;A107&amp;CHAR(10)&amp;"Customer: "&amp;D107&amp;"  "&amp;E107&amp;CHAR(10)&amp;"Phone: "&amp;F107&amp;CHAR(10)&amp;"Email: "&amp;G107&amp;CHAR(10)&amp;"Prefers: "&amp;H107&amp;CHAR(10)&amp;"Enquiry: "&amp;LEFT(I107,600)&amp;CHAR(10)&amp;CHAR(10)&amp;"Sent from the Preston Mazda enquiry log.","%","%25"),"&amp;","%26")," ","%20"),"#","%23"),CHAR(10),"%0A"),"✉ Email advisors"),"")</f>
        <v/>
      </c>
      <c r="V107" s="18" t="str">
        <f aca="false">IF(OR(M107="",IFERROR(INDEX(Staff!$B$4:$B$33,MATCH(M107,Staff!$A$4:$A$33,0)),"")=""),"",HYPERLINK("mailto:"&amp;IFERROR(INDEX(Staff!$B$4:$B$33,MATCH(M107,Staff!$A$4:$A$33,0)),"")&amp;"?subject="&amp;SUBSTITUTE(SUBSTITUTE(SUBSTITUTE(SUBSTITUTE(SUBSTITUTE("Enquiry "&amp;A107&amp;" allocated to you - "&amp;D107,"%","%25"),"&amp;","%26")," ","%20"),"#","%23"),CHAR(10),"%0A")&amp;"&amp;body="&amp;SUBSTITUTE(SUBSTITUTE(SUBSTITUTE(SUBSTITUTE(SUBSTITUTE("Ref: "&amp;A107&amp;CHAR(10)&amp;"Customer: "&amp;D107&amp;"  "&amp;E107&amp;CHAR(10)&amp;"Phone: "&amp;F107&amp;CHAR(10)&amp;"Email: "&amp;G107&amp;CHAR(10)&amp;"Prefers: "&amp;H107&amp;CHAR(10)&amp;"Enquiry: "&amp;LEFT(I107,600)&amp;CHAR(10)&amp;CHAR(10)&amp;"Sent from the Preston Mazda enquiry log.","%","%25"),"&amp;","%26")," ","%20"),"#","%23"),CHAR(10),"%0A"),"✉ Email "&amp;M107))</f>
        <v/>
      </c>
      <c r="W107" s="18" t="str">
        <f aca="false">IF(OR(P107="",IFERROR(INDEX(Staff!$E$4:$E$33,MATCH(P107,Staff!$D$4:$D$33,0)),"")=""),"",HYPERLINK("mailto:"&amp;IFERROR(INDEX(Staff!$E$4:$E$33,MATCH(P107,Staff!$D$4:$D$33,0)),"")&amp;"?subject="&amp;SUBSTITUTE(SUBSTITUTE(SUBSTITUTE(SUBSTITUTE(SUBSTITUTE("Parts quote "&amp;A107&amp;" allocated to you - "&amp;D107,"%","%25"),"&amp;","%26")," ","%20"),"#","%23"),CHAR(10),"%0A")&amp;"&amp;body="&amp;SUBSTITUTE(SUBSTITUTE(SUBSTITUTE(SUBSTITUTE(SUBSTITUTE("Ref: "&amp;A107&amp;CHAR(10)&amp;"Customer: "&amp;D107&amp;"  "&amp;E107&amp;CHAR(10)&amp;"Phone: "&amp;F107&amp;CHAR(10)&amp;"Email: "&amp;G107&amp;CHAR(10)&amp;"Prefers: "&amp;H107&amp;CHAR(10)&amp;"Enquiry: "&amp;LEFT(I107,600)&amp;CHAR(10)&amp;CHAR(10)&amp;"Sent from the Preston Mazda enquiry log.","%","%25"),"&amp;","%26")," ","%20"),"#","%23"),CHAR(10),"%0A"),"✉ Email "&amp;P107))</f>
        <v/>
      </c>
    </row>
    <row r="108" customFormat="false" ht="15" hidden="false" customHeight="false" outlineLevel="0" collapsed="false">
      <c r="A108" s="10" t="str">
        <f aca="false">IF(D108="","","E-"&amp;TEXT(ROW()-3,"0000"))</f>
        <v/>
      </c>
      <c r="B108" s="11"/>
      <c r="C108" s="12"/>
      <c r="D108" s="13"/>
      <c r="E108" s="14"/>
      <c r="F108" s="12"/>
      <c r="G108" s="12"/>
      <c r="H108" s="15"/>
      <c r="I108" s="16"/>
      <c r="J108" s="17" t="str">
        <f aca="false">IF(D108="","",HYPERLINK(Settings!$B$7&amp;A108&amp;".pdf","Open "&amp;A108&amp;".pdf"))</f>
        <v/>
      </c>
      <c r="K108" s="16"/>
      <c r="L108" s="12"/>
      <c r="M108" s="12"/>
      <c r="N108" s="15"/>
      <c r="O108" s="15"/>
      <c r="P108" s="12"/>
      <c r="Q108" s="15"/>
      <c r="R108" s="15"/>
      <c r="S108" s="15" t="str">
        <f aca="false">IF(D108="","",IF(AND(O108="Yes",OR(Q108&lt;&gt;"Yes",R108="Yes")),"Complete","Open"))</f>
        <v/>
      </c>
      <c r="T108" s="18" t="str">
        <f aca="false">IF(AND(Q108="Yes",R108&lt;&gt;"Yes"),HYPERLINK("mailto:"&amp;Settings!$B$5&amp;"?subject="&amp;SUBSTITUTE(SUBSTITUTE(SUBSTITUTE(SUBSTITUTE(SUBSTITUTE("Parts quote required - "&amp;D108&amp;" "&amp;E108,"%","%25"),"&amp;","%26")," ","%20"),"#","%23"),CHAR(10),"%0A")&amp;"&amp;body="&amp;SUBSTITUTE(SUBSTITUTE(SUBSTITUTE(SUBSTITUTE(SUBSTITUTE("Ref: "&amp;A108&amp;CHAR(10)&amp;"Customer: "&amp;D108&amp;"  "&amp;E108&amp;CHAR(10)&amp;"Phone: "&amp;F108&amp;CHAR(10)&amp;"Email: "&amp;G108&amp;CHAR(10)&amp;"Prefers: "&amp;H108&amp;CHAR(10)&amp;"Enquiry: "&amp;LEFT(I108,600)&amp;CHAR(10)&amp;CHAR(10)&amp;"Sent from the Preston Mazda enquiry log.","%","%25"),"&amp;","%26")," ","%20"),"#","%23"),CHAR(10),"%0A"),"✉ Email parts"),"")</f>
        <v/>
      </c>
      <c r="U108" s="18" t="str">
        <f aca="false">IF(AND(N108="Yes",O108&lt;&gt;"Yes"),HYPERLINK("mailto:"&amp;Settings!$B$6&amp;"?subject="&amp;SUBSTITUTE(SUBSTITUTE(SUBSTITUTE(SUBSTITUTE(SUBSTITUTE("Customer contact required - "&amp;D108&amp;" "&amp;E108,"%","%25"),"&amp;","%26")," ","%20"),"#","%23"),CHAR(10),"%0A")&amp;"&amp;body="&amp;SUBSTITUTE(SUBSTITUTE(SUBSTITUTE(SUBSTITUTE(SUBSTITUTE("Ref: "&amp;A108&amp;CHAR(10)&amp;"Customer: "&amp;D108&amp;"  "&amp;E108&amp;CHAR(10)&amp;"Phone: "&amp;F108&amp;CHAR(10)&amp;"Email: "&amp;G108&amp;CHAR(10)&amp;"Prefers: "&amp;H108&amp;CHAR(10)&amp;"Enquiry: "&amp;LEFT(I108,600)&amp;CHAR(10)&amp;CHAR(10)&amp;"Sent from the Preston Mazda enquiry log.","%","%25"),"&amp;","%26")," ","%20"),"#","%23"),CHAR(10),"%0A"),"✉ Email advisors"),"")</f>
        <v/>
      </c>
      <c r="V108" s="18" t="str">
        <f aca="false">IF(OR(M108="",IFERROR(INDEX(Staff!$B$4:$B$33,MATCH(M108,Staff!$A$4:$A$33,0)),"")=""),"",HYPERLINK("mailto:"&amp;IFERROR(INDEX(Staff!$B$4:$B$33,MATCH(M108,Staff!$A$4:$A$33,0)),"")&amp;"?subject="&amp;SUBSTITUTE(SUBSTITUTE(SUBSTITUTE(SUBSTITUTE(SUBSTITUTE("Enquiry "&amp;A108&amp;" allocated to you - "&amp;D108,"%","%25"),"&amp;","%26")," ","%20"),"#","%23"),CHAR(10),"%0A")&amp;"&amp;body="&amp;SUBSTITUTE(SUBSTITUTE(SUBSTITUTE(SUBSTITUTE(SUBSTITUTE("Ref: "&amp;A108&amp;CHAR(10)&amp;"Customer: "&amp;D108&amp;"  "&amp;E108&amp;CHAR(10)&amp;"Phone: "&amp;F108&amp;CHAR(10)&amp;"Email: "&amp;G108&amp;CHAR(10)&amp;"Prefers: "&amp;H108&amp;CHAR(10)&amp;"Enquiry: "&amp;LEFT(I108,600)&amp;CHAR(10)&amp;CHAR(10)&amp;"Sent from the Preston Mazda enquiry log.","%","%25"),"&amp;","%26")," ","%20"),"#","%23"),CHAR(10),"%0A"),"✉ Email "&amp;M108))</f>
        <v/>
      </c>
      <c r="W108" s="18" t="str">
        <f aca="false">IF(OR(P108="",IFERROR(INDEX(Staff!$E$4:$E$33,MATCH(P108,Staff!$D$4:$D$33,0)),"")=""),"",HYPERLINK("mailto:"&amp;IFERROR(INDEX(Staff!$E$4:$E$33,MATCH(P108,Staff!$D$4:$D$33,0)),"")&amp;"?subject="&amp;SUBSTITUTE(SUBSTITUTE(SUBSTITUTE(SUBSTITUTE(SUBSTITUTE("Parts quote "&amp;A108&amp;" allocated to you - "&amp;D108,"%","%25"),"&amp;","%26")," ","%20"),"#","%23"),CHAR(10),"%0A")&amp;"&amp;body="&amp;SUBSTITUTE(SUBSTITUTE(SUBSTITUTE(SUBSTITUTE(SUBSTITUTE("Ref: "&amp;A108&amp;CHAR(10)&amp;"Customer: "&amp;D108&amp;"  "&amp;E108&amp;CHAR(10)&amp;"Phone: "&amp;F108&amp;CHAR(10)&amp;"Email: "&amp;G108&amp;CHAR(10)&amp;"Prefers: "&amp;H108&amp;CHAR(10)&amp;"Enquiry: "&amp;LEFT(I108,600)&amp;CHAR(10)&amp;CHAR(10)&amp;"Sent from the Preston Mazda enquiry log.","%","%25"),"&amp;","%26")," ","%20"),"#","%23"),CHAR(10),"%0A"),"✉ Email "&amp;P108))</f>
        <v/>
      </c>
    </row>
    <row r="109" customFormat="false" ht="15" hidden="false" customHeight="false" outlineLevel="0" collapsed="false">
      <c r="A109" s="10" t="str">
        <f aca="false">IF(D109="","","E-"&amp;TEXT(ROW()-3,"0000"))</f>
        <v/>
      </c>
      <c r="B109" s="11"/>
      <c r="C109" s="12"/>
      <c r="D109" s="13"/>
      <c r="E109" s="14"/>
      <c r="F109" s="12"/>
      <c r="G109" s="12"/>
      <c r="H109" s="15"/>
      <c r="I109" s="16"/>
      <c r="J109" s="17" t="str">
        <f aca="false">IF(D109="","",HYPERLINK(Settings!$B$7&amp;A109&amp;".pdf","Open "&amp;A109&amp;".pdf"))</f>
        <v/>
      </c>
      <c r="K109" s="16"/>
      <c r="L109" s="12"/>
      <c r="M109" s="12"/>
      <c r="N109" s="15"/>
      <c r="O109" s="15"/>
      <c r="P109" s="12"/>
      <c r="Q109" s="15"/>
      <c r="R109" s="15"/>
      <c r="S109" s="15" t="str">
        <f aca="false">IF(D109="","",IF(AND(O109="Yes",OR(Q109&lt;&gt;"Yes",R109="Yes")),"Complete","Open"))</f>
        <v/>
      </c>
      <c r="T109" s="18" t="str">
        <f aca="false">IF(AND(Q109="Yes",R109&lt;&gt;"Yes"),HYPERLINK("mailto:"&amp;Settings!$B$5&amp;"?subject="&amp;SUBSTITUTE(SUBSTITUTE(SUBSTITUTE(SUBSTITUTE(SUBSTITUTE("Parts quote required - "&amp;D109&amp;" "&amp;E109,"%","%25"),"&amp;","%26")," ","%20"),"#","%23"),CHAR(10),"%0A")&amp;"&amp;body="&amp;SUBSTITUTE(SUBSTITUTE(SUBSTITUTE(SUBSTITUTE(SUBSTITUTE("Ref: "&amp;A109&amp;CHAR(10)&amp;"Customer: "&amp;D109&amp;"  "&amp;E109&amp;CHAR(10)&amp;"Phone: "&amp;F109&amp;CHAR(10)&amp;"Email: "&amp;G109&amp;CHAR(10)&amp;"Prefers: "&amp;H109&amp;CHAR(10)&amp;"Enquiry: "&amp;LEFT(I109,600)&amp;CHAR(10)&amp;CHAR(10)&amp;"Sent from the Preston Mazda enquiry log.","%","%25"),"&amp;","%26")," ","%20"),"#","%23"),CHAR(10),"%0A"),"✉ Email parts"),"")</f>
        <v/>
      </c>
      <c r="U109" s="18" t="str">
        <f aca="false">IF(AND(N109="Yes",O109&lt;&gt;"Yes"),HYPERLINK("mailto:"&amp;Settings!$B$6&amp;"?subject="&amp;SUBSTITUTE(SUBSTITUTE(SUBSTITUTE(SUBSTITUTE(SUBSTITUTE("Customer contact required - "&amp;D109&amp;" "&amp;E109,"%","%25"),"&amp;","%26")," ","%20"),"#","%23"),CHAR(10),"%0A")&amp;"&amp;body="&amp;SUBSTITUTE(SUBSTITUTE(SUBSTITUTE(SUBSTITUTE(SUBSTITUTE("Ref: "&amp;A109&amp;CHAR(10)&amp;"Customer: "&amp;D109&amp;"  "&amp;E109&amp;CHAR(10)&amp;"Phone: "&amp;F109&amp;CHAR(10)&amp;"Email: "&amp;G109&amp;CHAR(10)&amp;"Prefers: "&amp;H109&amp;CHAR(10)&amp;"Enquiry: "&amp;LEFT(I109,600)&amp;CHAR(10)&amp;CHAR(10)&amp;"Sent from the Preston Mazda enquiry log.","%","%25"),"&amp;","%26")," ","%20"),"#","%23"),CHAR(10),"%0A"),"✉ Email advisors"),"")</f>
        <v/>
      </c>
      <c r="V109" s="18" t="str">
        <f aca="false">IF(OR(M109="",IFERROR(INDEX(Staff!$B$4:$B$33,MATCH(M109,Staff!$A$4:$A$33,0)),"")=""),"",HYPERLINK("mailto:"&amp;IFERROR(INDEX(Staff!$B$4:$B$33,MATCH(M109,Staff!$A$4:$A$33,0)),"")&amp;"?subject="&amp;SUBSTITUTE(SUBSTITUTE(SUBSTITUTE(SUBSTITUTE(SUBSTITUTE("Enquiry "&amp;A109&amp;" allocated to you - "&amp;D109,"%","%25"),"&amp;","%26")," ","%20"),"#","%23"),CHAR(10),"%0A")&amp;"&amp;body="&amp;SUBSTITUTE(SUBSTITUTE(SUBSTITUTE(SUBSTITUTE(SUBSTITUTE("Ref: "&amp;A109&amp;CHAR(10)&amp;"Customer: "&amp;D109&amp;"  "&amp;E109&amp;CHAR(10)&amp;"Phone: "&amp;F109&amp;CHAR(10)&amp;"Email: "&amp;G109&amp;CHAR(10)&amp;"Prefers: "&amp;H109&amp;CHAR(10)&amp;"Enquiry: "&amp;LEFT(I109,600)&amp;CHAR(10)&amp;CHAR(10)&amp;"Sent from the Preston Mazda enquiry log.","%","%25"),"&amp;","%26")," ","%20"),"#","%23"),CHAR(10),"%0A"),"✉ Email "&amp;M109))</f>
        <v/>
      </c>
      <c r="W109" s="18" t="str">
        <f aca="false">IF(OR(P109="",IFERROR(INDEX(Staff!$E$4:$E$33,MATCH(P109,Staff!$D$4:$D$33,0)),"")=""),"",HYPERLINK("mailto:"&amp;IFERROR(INDEX(Staff!$E$4:$E$33,MATCH(P109,Staff!$D$4:$D$33,0)),"")&amp;"?subject="&amp;SUBSTITUTE(SUBSTITUTE(SUBSTITUTE(SUBSTITUTE(SUBSTITUTE("Parts quote "&amp;A109&amp;" allocated to you - "&amp;D109,"%","%25"),"&amp;","%26")," ","%20"),"#","%23"),CHAR(10),"%0A")&amp;"&amp;body="&amp;SUBSTITUTE(SUBSTITUTE(SUBSTITUTE(SUBSTITUTE(SUBSTITUTE("Ref: "&amp;A109&amp;CHAR(10)&amp;"Customer: "&amp;D109&amp;"  "&amp;E109&amp;CHAR(10)&amp;"Phone: "&amp;F109&amp;CHAR(10)&amp;"Email: "&amp;G109&amp;CHAR(10)&amp;"Prefers: "&amp;H109&amp;CHAR(10)&amp;"Enquiry: "&amp;LEFT(I109,600)&amp;CHAR(10)&amp;CHAR(10)&amp;"Sent from the Preston Mazda enquiry log.","%","%25"),"&amp;","%26")," ","%20"),"#","%23"),CHAR(10),"%0A"),"✉ Email "&amp;P109))</f>
        <v/>
      </c>
    </row>
    <row r="110" customFormat="false" ht="15" hidden="false" customHeight="false" outlineLevel="0" collapsed="false">
      <c r="A110" s="10" t="str">
        <f aca="false">IF(D110="","","E-"&amp;TEXT(ROW()-3,"0000"))</f>
        <v/>
      </c>
      <c r="B110" s="11"/>
      <c r="C110" s="12"/>
      <c r="D110" s="13"/>
      <c r="E110" s="14"/>
      <c r="F110" s="12"/>
      <c r="G110" s="12"/>
      <c r="H110" s="15"/>
      <c r="I110" s="16"/>
      <c r="J110" s="17" t="str">
        <f aca="false">IF(D110="","",HYPERLINK(Settings!$B$7&amp;A110&amp;".pdf","Open "&amp;A110&amp;".pdf"))</f>
        <v/>
      </c>
      <c r="K110" s="16"/>
      <c r="L110" s="12"/>
      <c r="M110" s="12"/>
      <c r="N110" s="15"/>
      <c r="O110" s="15"/>
      <c r="P110" s="12"/>
      <c r="Q110" s="15"/>
      <c r="R110" s="15"/>
      <c r="S110" s="15" t="str">
        <f aca="false">IF(D110="","",IF(AND(O110="Yes",OR(Q110&lt;&gt;"Yes",R110="Yes")),"Complete","Open"))</f>
        <v/>
      </c>
      <c r="T110" s="18" t="str">
        <f aca="false">IF(AND(Q110="Yes",R110&lt;&gt;"Yes"),HYPERLINK("mailto:"&amp;Settings!$B$5&amp;"?subject="&amp;SUBSTITUTE(SUBSTITUTE(SUBSTITUTE(SUBSTITUTE(SUBSTITUTE("Parts quote required - "&amp;D110&amp;" "&amp;E110,"%","%25"),"&amp;","%26")," ","%20"),"#","%23"),CHAR(10),"%0A")&amp;"&amp;body="&amp;SUBSTITUTE(SUBSTITUTE(SUBSTITUTE(SUBSTITUTE(SUBSTITUTE("Ref: "&amp;A110&amp;CHAR(10)&amp;"Customer: "&amp;D110&amp;"  "&amp;E110&amp;CHAR(10)&amp;"Phone: "&amp;F110&amp;CHAR(10)&amp;"Email: "&amp;G110&amp;CHAR(10)&amp;"Prefers: "&amp;H110&amp;CHAR(10)&amp;"Enquiry: "&amp;LEFT(I110,600)&amp;CHAR(10)&amp;CHAR(10)&amp;"Sent from the Preston Mazda enquiry log.","%","%25"),"&amp;","%26")," ","%20"),"#","%23"),CHAR(10),"%0A"),"✉ Email parts"),"")</f>
        <v/>
      </c>
      <c r="U110" s="18" t="str">
        <f aca="false">IF(AND(N110="Yes",O110&lt;&gt;"Yes"),HYPERLINK("mailto:"&amp;Settings!$B$6&amp;"?subject="&amp;SUBSTITUTE(SUBSTITUTE(SUBSTITUTE(SUBSTITUTE(SUBSTITUTE("Customer contact required - "&amp;D110&amp;" "&amp;E110,"%","%25"),"&amp;","%26")," ","%20"),"#","%23"),CHAR(10),"%0A")&amp;"&amp;body="&amp;SUBSTITUTE(SUBSTITUTE(SUBSTITUTE(SUBSTITUTE(SUBSTITUTE("Ref: "&amp;A110&amp;CHAR(10)&amp;"Customer: "&amp;D110&amp;"  "&amp;E110&amp;CHAR(10)&amp;"Phone: "&amp;F110&amp;CHAR(10)&amp;"Email: "&amp;G110&amp;CHAR(10)&amp;"Prefers: "&amp;H110&amp;CHAR(10)&amp;"Enquiry: "&amp;LEFT(I110,600)&amp;CHAR(10)&amp;CHAR(10)&amp;"Sent from the Preston Mazda enquiry log.","%","%25"),"&amp;","%26")," ","%20"),"#","%23"),CHAR(10),"%0A"),"✉ Email advisors"),"")</f>
        <v/>
      </c>
      <c r="V110" s="18" t="str">
        <f aca="false">IF(OR(M110="",IFERROR(INDEX(Staff!$B$4:$B$33,MATCH(M110,Staff!$A$4:$A$33,0)),"")=""),"",HYPERLINK("mailto:"&amp;IFERROR(INDEX(Staff!$B$4:$B$33,MATCH(M110,Staff!$A$4:$A$33,0)),"")&amp;"?subject="&amp;SUBSTITUTE(SUBSTITUTE(SUBSTITUTE(SUBSTITUTE(SUBSTITUTE("Enquiry "&amp;A110&amp;" allocated to you - "&amp;D110,"%","%25"),"&amp;","%26")," ","%20"),"#","%23"),CHAR(10),"%0A")&amp;"&amp;body="&amp;SUBSTITUTE(SUBSTITUTE(SUBSTITUTE(SUBSTITUTE(SUBSTITUTE("Ref: "&amp;A110&amp;CHAR(10)&amp;"Customer: "&amp;D110&amp;"  "&amp;E110&amp;CHAR(10)&amp;"Phone: "&amp;F110&amp;CHAR(10)&amp;"Email: "&amp;G110&amp;CHAR(10)&amp;"Prefers: "&amp;H110&amp;CHAR(10)&amp;"Enquiry: "&amp;LEFT(I110,600)&amp;CHAR(10)&amp;CHAR(10)&amp;"Sent from the Preston Mazda enquiry log.","%","%25"),"&amp;","%26")," ","%20"),"#","%23"),CHAR(10),"%0A"),"✉ Email "&amp;M110))</f>
        <v/>
      </c>
      <c r="W110" s="18" t="str">
        <f aca="false">IF(OR(P110="",IFERROR(INDEX(Staff!$E$4:$E$33,MATCH(P110,Staff!$D$4:$D$33,0)),"")=""),"",HYPERLINK("mailto:"&amp;IFERROR(INDEX(Staff!$E$4:$E$33,MATCH(P110,Staff!$D$4:$D$33,0)),"")&amp;"?subject="&amp;SUBSTITUTE(SUBSTITUTE(SUBSTITUTE(SUBSTITUTE(SUBSTITUTE("Parts quote "&amp;A110&amp;" allocated to you - "&amp;D110,"%","%25"),"&amp;","%26")," ","%20"),"#","%23"),CHAR(10),"%0A")&amp;"&amp;body="&amp;SUBSTITUTE(SUBSTITUTE(SUBSTITUTE(SUBSTITUTE(SUBSTITUTE("Ref: "&amp;A110&amp;CHAR(10)&amp;"Customer: "&amp;D110&amp;"  "&amp;E110&amp;CHAR(10)&amp;"Phone: "&amp;F110&amp;CHAR(10)&amp;"Email: "&amp;G110&amp;CHAR(10)&amp;"Prefers: "&amp;H110&amp;CHAR(10)&amp;"Enquiry: "&amp;LEFT(I110,600)&amp;CHAR(10)&amp;CHAR(10)&amp;"Sent from the Preston Mazda enquiry log.","%","%25"),"&amp;","%26")," ","%20"),"#","%23"),CHAR(10),"%0A"),"✉ Email "&amp;P110))</f>
        <v/>
      </c>
    </row>
    <row r="111" customFormat="false" ht="15" hidden="false" customHeight="false" outlineLevel="0" collapsed="false">
      <c r="A111" s="10" t="str">
        <f aca="false">IF(D111="","","E-"&amp;TEXT(ROW()-3,"0000"))</f>
        <v/>
      </c>
      <c r="B111" s="11"/>
      <c r="C111" s="12"/>
      <c r="D111" s="13"/>
      <c r="E111" s="14"/>
      <c r="F111" s="12"/>
      <c r="G111" s="12"/>
      <c r="H111" s="15"/>
      <c r="I111" s="16"/>
      <c r="J111" s="17" t="str">
        <f aca="false">IF(D111="","",HYPERLINK(Settings!$B$7&amp;A111&amp;".pdf","Open "&amp;A111&amp;".pdf"))</f>
        <v/>
      </c>
      <c r="K111" s="16"/>
      <c r="L111" s="12"/>
      <c r="M111" s="12"/>
      <c r="N111" s="15"/>
      <c r="O111" s="15"/>
      <c r="P111" s="12"/>
      <c r="Q111" s="15"/>
      <c r="R111" s="15"/>
      <c r="S111" s="15" t="str">
        <f aca="false">IF(D111="","",IF(AND(O111="Yes",OR(Q111&lt;&gt;"Yes",R111="Yes")),"Complete","Open"))</f>
        <v/>
      </c>
      <c r="T111" s="18" t="str">
        <f aca="false">IF(AND(Q111="Yes",R111&lt;&gt;"Yes"),HYPERLINK("mailto:"&amp;Settings!$B$5&amp;"?subject="&amp;SUBSTITUTE(SUBSTITUTE(SUBSTITUTE(SUBSTITUTE(SUBSTITUTE("Parts quote required - "&amp;D111&amp;" "&amp;E111,"%","%25"),"&amp;","%26")," ","%20"),"#","%23"),CHAR(10),"%0A")&amp;"&amp;body="&amp;SUBSTITUTE(SUBSTITUTE(SUBSTITUTE(SUBSTITUTE(SUBSTITUTE("Ref: "&amp;A111&amp;CHAR(10)&amp;"Customer: "&amp;D111&amp;"  "&amp;E111&amp;CHAR(10)&amp;"Phone: "&amp;F111&amp;CHAR(10)&amp;"Email: "&amp;G111&amp;CHAR(10)&amp;"Prefers: "&amp;H111&amp;CHAR(10)&amp;"Enquiry: "&amp;LEFT(I111,600)&amp;CHAR(10)&amp;CHAR(10)&amp;"Sent from the Preston Mazda enquiry log.","%","%25"),"&amp;","%26")," ","%20"),"#","%23"),CHAR(10),"%0A"),"✉ Email parts"),"")</f>
        <v/>
      </c>
      <c r="U111" s="18" t="str">
        <f aca="false">IF(AND(N111="Yes",O111&lt;&gt;"Yes"),HYPERLINK("mailto:"&amp;Settings!$B$6&amp;"?subject="&amp;SUBSTITUTE(SUBSTITUTE(SUBSTITUTE(SUBSTITUTE(SUBSTITUTE("Customer contact required - "&amp;D111&amp;" "&amp;E111,"%","%25"),"&amp;","%26")," ","%20"),"#","%23"),CHAR(10),"%0A")&amp;"&amp;body="&amp;SUBSTITUTE(SUBSTITUTE(SUBSTITUTE(SUBSTITUTE(SUBSTITUTE("Ref: "&amp;A111&amp;CHAR(10)&amp;"Customer: "&amp;D111&amp;"  "&amp;E111&amp;CHAR(10)&amp;"Phone: "&amp;F111&amp;CHAR(10)&amp;"Email: "&amp;G111&amp;CHAR(10)&amp;"Prefers: "&amp;H111&amp;CHAR(10)&amp;"Enquiry: "&amp;LEFT(I111,600)&amp;CHAR(10)&amp;CHAR(10)&amp;"Sent from the Preston Mazda enquiry log.","%","%25"),"&amp;","%26")," ","%20"),"#","%23"),CHAR(10),"%0A"),"✉ Email advisors"),"")</f>
        <v/>
      </c>
      <c r="V111" s="18" t="str">
        <f aca="false">IF(OR(M111="",IFERROR(INDEX(Staff!$B$4:$B$33,MATCH(M111,Staff!$A$4:$A$33,0)),"")=""),"",HYPERLINK("mailto:"&amp;IFERROR(INDEX(Staff!$B$4:$B$33,MATCH(M111,Staff!$A$4:$A$33,0)),"")&amp;"?subject="&amp;SUBSTITUTE(SUBSTITUTE(SUBSTITUTE(SUBSTITUTE(SUBSTITUTE("Enquiry "&amp;A111&amp;" allocated to you - "&amp;D111,"%","%25"),"&amp;","%26")," ","%20"),"#","%23"),CHAR(10),"%0A")&amp;"&amp;body="&amp;SUBSTITUTE(SUBSTITUTE(SUBSTITUTE(SUBSTITUTE(SUBSTITUTE("Ref: "&amp;A111&amp;CHAR(10)&amp;"Customer: "&amp;D111&amp;"  "&amp;E111&amp;CHAR(10)&amp;"Phone: "&amp;F111&amp;CHAR(10)&amp;"Email: "&amp;G111&amp;CHAR(10)&amp;"Prefers: "&amp;H111&amp;CHAR(10)&amp;"Enquiry: "&amp;LEFT(I111,600)&amp;CHAR(10)&amp;CHAR(10)&amp;"Sent from the Preston Mazda enquiry log.","%","%25"),"&amp;","%26")," ","%20"),"#","%23"),CHAR(10),"%0A"),"✉ Email "&amp;M111))</f>
        <v/>
      </c>
      <c r="W111" s="18" t="str">
        <f aca="false">IF(OR(P111="",IFERROR(INDEX(Staff!$E$4:$E$33,MATCH(P111,Staff!$D$4:$D$33,0)),"")=""),"",HYPERLINK("mailto:"&amp;IFERROR(INDEX(Staff!$E$4:$E$33,MATCH(P111,Staff!$D$4:$D$33,0)),"")&amp;"?subject="&amp;SUBSTITUTE(SUBSTITUTE(SUBSTITUTE(SUBSTITUTE(SUBSTITUTE("Parts quote "&amp;A111&amp;" allocated to you - "&amp;D111,"%","%25"),"&amp;","%26")," ","%20"),"#","%23"),CHAR(10),"%0A")&amp;"&amp;body="&amp;SUBSTITUTE(SUBSTITUTE(SUBSTITUTE(SUBSTITUTE(SUBSTITUTE("Ref: "&amp;A111&amp;CHAR(10)&amp;"Customer: "&amp;D111&amp;"  "&amp;E111&amp;CHAR(10)&amp;"Phone: "&amp;F111&amp;CHAR(10)&amp;"Email: "&amp;G111&amp;CHAR(10)&amp;"Prefers: "&amp;H111&amp;CHAR(10)&amp;"Enquiry: "&amp;LEFT(I111,600)&amp;CHAR(10)&amp;CHAR(10)&amp;"Sent from the Preston Mazda enquiry log.","%","%25"),"&amp;","%26")," ","%20"),"#","%23"),CHAR(10),"%0A"),"✉ Email "&amp;P111))</f>
        <v/>
      </c>
    </row>
    <row r="112" customFormat="false" ht="15" hidden="false" customHeight="false" outlineLevel="0" collapsed="false">
      <c r="A112" s="10" t="str">
        <f aca="false">IF(D112="","","E-"&amp;TEXT(ROW()-3,"0000"))</f>
        <v/>
      </c>
      <c r="B112" s="11"/>
      <c r="C112" s="12"/>
      <c r="D112" s="13"/>
      <c r="E112" s="14"/>
      <c r="F112" s="12"/>
      <c r="G112" s="12"/>
      <c r="H112" s="15"/>
      <c r="I112" s="16"/>
      <c r="J112" s="17" t="str">
        <f aca="false">IF(D112="","",HYPERLINK(Settings!$B$7&amp;A112&amp;".pdf","Open "&amp;A112&amp;".pdf"))</f>
        <v/>
      </c>
      <c r="K112" s="16"/>
      <c r="L112" s="12"/>
      <c r="M112" s="12"/>
      <c r="N112" s="15"/>
      <c r="O112" s="15"/>
      <c r="P112" s="12"/>
      <c r="Q112" s="15"/>
      <c r="R112" s="15"/>
      <c r="S112" s="15" t="str">
        <f aca="false">IF(D112="","",IF(AND(O112="Yes",OR(Q112&lt;&gt;"Yes",R112="Yes")),"Complete","Open"))</f>
        <v/>
      </c>
      <c r="T112" s="18" t="str">
        <f aca="false">IF(AND(Q112="Yes",R112&lt;&gt;"Yes"),HYPERLINK("mailto:"&amp;Settings!$B$5&amp;"?subject="&amp;SUBSTITUTE(SUBSTITUTE(SUBSTITUTE(SUBSTITUTE(SUBSTITUTE("Parts quote required - "&amp;D112&amp;" "&amp;E112,"%","%25"),"&amp;","%26")," ","%20"),"#","%23"),CHAR(10),"%0A")&amp;"&amp;body="&amp;SUBSTITUTE(SUBSTITUTE(SUBSTITUTE(SUBSTITUTE(SUBSTITUTE("Ref: "&amp;A112&amp;CHAR(10)&amp;"Customer: "&amp;D112&amp;"  "&amp;E112&amp;CHAR(10)&amp;"Phone: "&amp;F112&amp;CHAR(10)&amp;"Email: "&amp;G112&amp;CHAR(10)&amp;"Prefers: "&amp;H112&amp;CHAR(10)&amp;"Enquiry: "&amp;LEFT(I112,600)&amp;CHAR(10)&amp;CHAR(10)&amp;"Sent from the Preston Mazda enquiry log.","%","%25"),"&amp;","%26")," ","%20"),"#","%23"),CHAR(10),"%0A"),"✉ Email parts"),"")</f>
        <v/>
      </c>
      <c r="U112" s="18" t="str">
        <f aca="false">IF(AND(N112="Yes",O112&lt;&gt;"Yes"),HYPERLINK("mailto:"&amp;Settings!$B$6&amp;"?subject="&amp;SUBSTITUTE(SUBSTITUTE(SUBSTITUTE(SUBSTITUTE(SUBSTITUTE("Customer contact required - "&amp;D112&amp;" "&amp;E112,"%","%25"),"&amp;","%26")," ","%20"),"#","%23"),CHAR(10),"%0A")&amp;"&amp;body="&amp;SUBSTITUTE(SUBSTITUTE(SUBSTITUTE(SUBSTITUTE(SUBSTITUTE("Ref: "&amp;A112&amp;CHAR(10)&amp;"Customer: "&amp;D112&amp;"  "&amp;E112&amp;CHAR(10)&amp;"Phone: "&amp;F112&amp;CHAR(10)&amp;"Email: "&amp;G112&amp;CHAR(10)&amp;"Prefers: "&amp;H112&amp;CHAR(10)&amp;"Enquiry: "&amp;LEFT(I112,600)&amp;CHAR(10)&amp;CHAR(10)&amp;"Sent from the Preston Mazda enquiry log.","%","%25"),"&amp;","%26")," ","%20"),"#","%23"),CHAR(10),"%0A"),"✉ Email advisors"),"")</f>
        <v/>
      </c>
      <c r="V112" s="18" t="str">
        <f aca="false">IF(OR(M112="",IFERROR(INDEX(Staff!$B$4:$B$33,MATCH(M112,Staff!$A$4:$A$33,0)),"")=""),"",HYPERLINK("mailto:"&amp;IFERROR(INDEX(Staff!$B$4:$B$33,MATCH(M112,Staff!$A$4:$A$33,0)),"")&amp;"?subject="&amp;SUBSTITUTE(SUBSTITUTE(SUBSTITUTE(SUBSTITUTE(SUBSTITUTE("Enquiry "&amp;A112&amp;" allocated to you - "&amp;D112,"%","%25"),"&amp;","%26")," ","%20"),"#","%23"),CHAR(10),"%0A")&amp;"&amp;body="&amp;SUBSTITUTE(SUBSTITUTE(SUBSTITUTE(SUBSTITUTE(SUBSTITUTE("Ref: "&amp;A112&amp;CHAR(10)&amp;"Customer: "&amp;D112&amp;"  "&amp;E112&amp;CHAR(10)&amp;"Phone: "&amp;F112&amp;CHAR(10)&amp;"Email: "&amp;G112&amp;CHAR(10)&amp;"Prefers: "&amp;H112&amp;CHAR(10)&amp;"Enquiry: "&amp;LEFT(I112,600)&amp;CHAR(10)&amp;CHAR(10)&amp;"Sent from the Preston Mazda enquiry log.","%","%25"),"&amp;","%26")," ","%20"),"#","%23"),CHAR(10),"%0A"),"✉ Email "&amp;M112))</f>
        <v/>
      </c>
      <c r="W112" s="18" t="str">
        <f aca="false">IF(OR(P112="",IFERROR(INDEX(Staff!$E$4:$E$33,MATCH(P112,Staff!$D$4:$D$33,0)),"")=""),"",HYPERLINK("mailto:"&amp;IFERROR(INDEX(Staff!$E$4:$E$33,MATCH(P112,Staff!$D$4:$D$33,0)),"")&amp;"?subject="&amp;SUBSTITUTE(SUBSTITUTE(SUBSTITUTE(SUBSTITUTE(SUBSTITUTE("Parts quote "&amp;A112&amp;" allocated to you - "&amp;D112,"%","%25"),"&amp;","%26")," ","%20"),"#","%23"),CHAR(10),"%0A")&amp;"&amp;body="&amp;SUBSTITUTE(SUBSTITUTE(SUBSTITUTE(SUBSTITUTE(SUBSTITUTE("Ref: "&amp;A112&amp;CHAR(10)&amp;"Customer: "&amp;D112&amp;"  "&amp;E112&amp;CHAR(10)&amp;"Phone: "&amp;F112&amp;CHAR(10)&amp;"Email: "&amp;G112&amp;CHAR(10)&amp;"Prefers: "&amp;H112&amp;CHAR(10)&amp;"Enquiry: "&amp;LEFT(I112,600)&amp;CHAR(10)&amp;CHAR(10)&amp;"Sent from the Preston Mazda enquiry log.","%","%25"),"&amp;","%26")," ","%20"),"#","%23"),CHAR(10),"%0A"),"✉ Email "&amp;P112))</f>
        <v/>
      </c>
    </row>
    <row r="113" customFormat="false" ht="15" hidden="false" customHeight="false" outlineLevel="0" collapsed="false">
      <c r="A113" s="10" t="str">
        <f aca="false">IF(D113="","","E-"&amp;TEXT(ROW()-3,"0000"))</f>
        <v/>
      </c>
      <c r="B113" s="11"/>
      <c r="C113" s="12"/>
      <c r="D113" s="13"/>
      <c r="E113" s="14"/>
      <c r="F113" s="12"/>
      <c r="G113" s="12"/>
      <c r="H113" s="15"/>
      <c r="I113" s="16"/>
      <c r="J113" s="17" t="str">
        <f aca="false">IF(D113="","",HYPERLINK(Settings!$B$7&amp;A113&amp;".pdf","Open "&amp;A113&amp;".pdf"))</f>
        <v/>
      </c>
      <c r="K113" s="16"/>
      <c r="L113" s="12"/>
      <c r="M113" s="12"/>
      <c r="N113" s="15"/>
      <c r="O113" s="15"/>
      <c r="P113" s="12"/>
      <c r="Q113" s="15"/>
      <c r="R113" s="15"/>
      <c r="S113" s="15" t="str">
        <f aca="false">IF(D113="","",IF(AND(O113="Yes",OR(Q113&lt;&gt;"Yes",R113="Yes")),"Complete","Open"))</f>
        <v/>
      </c>
      <c r="T113" s="18" t="str">
        <f aca="false">IF(AND(Q113="Yes",R113&lt;&gt;"Yes"),HYPERLINK("mailto:"&amp;Settings!$B$5&amp;"?subject="&amp;SUBSTITUTE(SUBSTITUTE(SUBSTITUTE(SUBSTITUTE(SUBSTITUTE("Parts quote required - "&amp;D113&amp;" "&amp;E113,"%","%25"),"&amp;","%26")," ","%20"),"#","%23"),CHAR(10),"%0A")&amp;"&amp;body="&amp;SUBSTITUTE(SUBSTITUTE(SUBSTITUTE(SUBSTITUTE(SUBSTITUTE("Ref: "&amp;A113&amp;CHAR(10)&amp;"Customer: "&amp;D113&amp;"  "&amp;E113&amp;CHAR(10)&amp;"Phone: "&amp;F113&amp;CHAR(10)&amp;"Email: "&amp;G113&amp;CHAR(10)&amp;"Prefers: "&amp;H113&amp;CHAR(10)&amp;"Enquiry: "&amp;LEFT(I113,600)&amp;CHAR(10)&amp;CHAR(10)&amp;"Sent from the Preston Mazda enquiry log.","%","%25"),"&amp;","%26")," ","%20"),"#","%23"),CHAR(10),"%0A"),"✉ Email parts"),"")</f>
        <v/>
      </c>
      <c r="U113" s="18" t="str">
        <f aca="false">IF(AND(N113="Yes",O113&lt;&gt;"Yes"),HYPERLINK("mailto:"&amp;Settings!$B$6&amp;"?subject="&amp;SUBSTITUTE(SUBSTITUTE(SUBSTITUTE(SUBSTITUTE(SUBSTITUTE("Customer contact required - "&amp;D113&amp;" "&amp;E113,"%","%25"),"&amp;","%26")," ","%20"),"#","%23"),CHAR(10),"%0A")&amp;"&amp;body="&amp;SUBSTITUTE(SUBSTITUTE(SUBSTITUTE(SUBSTITUTE(SUBSTITUTE("Ref: "&amp;A113&amp;CHAR(10)&amp;"Customer: "&amp;D113&amp;"  "&amp;E113&amp;CHAR(10)&amp;"Phone: "&amp;F113&amp;CHAR(10)&amp;"Email: "&amp;G113&amp;CHAR(10)&amp;"Prefers: "&amp;H113&amp;CHAR(10)&amp;"Enquiry: "&amp;LEFT(I113,600)&amp;CHAR(10)&amp;CHAR(10)&amp;"Sent from the Preston Mazda enquiry log.","%","%25"),"&amp;","%26")," ","%20"),"#","%23"),CHAR(10),"%0A"),"✉ Email advisors"),"")</f>
        <v/>
      </c>
      <c r="V113" s="18" t="str">
        <f aca="false">IF(OR(M113="",IFERROR(INDEX(Staff!$B$4:$B$33,MATCH(M113,Staff!$A$4:$A$33,0)),"")=""),"",HYPERLINK("mailto:"&amp;IFERROR(INDEX(Staff!$B$4:$B$33,MATCH(M113,Staff!$A$4:$A$33,0)),"")&amp;"?subject="&amp;SUBSTITUTE(SUBSTITUTE(SUBSTITUTE(SUBSTITUTE(SUBSTITUTE("Enquiry "&amp;A113&amp;" allocated to you - "&amp;D113,"%","%25"),"&amp;","%26")," ","%20"),"#","%23"),CHAR(10),"%0A")&amp;"&amp;body="&amp;SUBSTITUTE(SUBSTITUTE(SUBSTITUTE(SUBSTITUTE(SUBSTITUTE("Ref: "&amp;A113&amp;CHAR(10)&amp;"Customer: "&amp;D113&amp;"  "&amp;E113&amp;CHAR(10)&amp;"Phone: "&amp;F113&amp;CHAR(10)&amp;"Email: "&amp;G113&amp;CHAR(10)&amp;"Prefers: "&amp;H113&amp;CHAR(10)&amp;"Enquiry: "&amp;LEFT(I113,600)&amp;CHAR(10)&amp;CHAR(10)&amp;"Sent from the Preston Mazda enquiry log.","%","%25"),"&amp;","%26")," ","%20"),"#","%23"),CHAR(10),"%0A"),"✉ Email "&amp;M113))</f>
        <v/>
      </c>
      <c r="W113" s="18" t="str">
        <f aca="false">IF(OR(P113="",IFERROR(INDEX(Staff!$E$4:$E$33,MATCH(P113,Staff!$D$4:$D$33,0)),"")=""),"",HYPERLINK("mailto:"&amp;IFERROR(INDEX(Staff!$E$4:$E$33,MATCH(P113,Staff!$D$4:$D$33,0)),"")&amp;"?subject="&amp;SUBSTITUTE(SUBSTITUTE(SUBSTITUTE(SUBSTITUTE(SUBSTITUTE("Parts quote "&amp;A113&amp;" allocated to you - "&amp;D113,"%","%25"),"&amp;","%26")," ","%20"),"#","%23"),CHAR(10),"%0A")&amp;"&amp;body="&amp;SUBSTITUTE(SUBSTITUTE(SUBSTITUTE(SUBSTITUTE(SUBSTITUTE("Ref: "&amp;A113&amp;CHAR(10)&amp;"Customer: "&amp;D113&amp;"  "&amp;E113&amp;CHAR(10)&amp;"Phone: "&amp;F113&amp;CHAR(10)&amp;"Email: "&amp;G113&amp;CHAR(10)&amp;"Prefers: "&amp;H113&amp;CHAR(10)&amp;"Enquiry: "&amp;LEFT(I113,600)&amp;CHAR(10)&amp;CHAR(10)&amp;"Sent from the Preston Mazda enquiry log.","%","%25"),"&amp;","%26")," ","%20"),"#","%23"),CHAR(10),"%0A"),"✉ Email "&amp;P113))</f>
        <v/>
      </c>
    </row>
    <row r="114" customFormat="false" ht="15" hidden="false" customHeight="false" outlineLevel="0" collapsed="false">
      <c r="A114" s="10" t="str">
        <f aca="false">IF(D114="","","E-"&amp;TEXT(ROW()-3,"0000"))</f>
        <v/>
      </c>
      <c r="B114" s="11"/>
      <c r="C114" s="12"/>
      <c r="D114" s="13"/>
      <c r="E114" s="14"/>
      <c r="F114" s="12"/>
      <c r="G114" s="12"/>
      <c r="H114" s="15"/>
      <c r="I114" s="16"/>
      <c r="J114" s="17" t="str">
        <f aca="false">IF(D114="","",HYPERLINK(Settings!$B$7&amp;A114&amp;".pdf","Open "&amp;A114&amp;".pdf"))</f>
        <v/>
      </c>
      <c r="K114" s="16"/>
      <c r="L114" s="12"/>
      <c r="M114" s="12"/>
      <c r="N114" s="15"/>
      <c r="O114" s="15"/>
      <c r="P114" s="12"/>
      <c r="Q114" s="15"/>
      <c r="R114" s="15"/>
      <c r="S114" s="15" t="str">
        <f aca="false">IF(D114="","",IF(AND(O114="Yes",OR(Q114&lt;&gt;"Yes",R114="Yes")),"Complete","Open"))</f>
        <v/>
      </c>
      <c r="T114" s="18" t="str">
        <f aca="false">IF(AND(Q114="Yes",R114&lt;&gt;"Yes"),HYPERLINK("mailto:"&amp;Settings!$B$5&amp;"?subject="&amp;SUBSTITUTE(SUBSTITUTE(SUBSTITUTE(SUBSTITUTE(SUBSTITUTE("Parts quote required - "&amp;D114&amp;" "&amp;E114,"%","%25"),"&amp;","%26")," ","%20"),"#","%23"),CHAR(10),"%0A")&amp;"&amp;body="&amp;SUBSTITUTE(SUBSTITUTE(SUBSTITUTE(SUBSTITUTE(SUBSTITUTE("Ref: "&amp;A114&amp;CHAR(10)&amp;"Customer: "&amp;D114&amp;"  "&amp;E114&amp;CHAR(10)&amp;"Phone: "&amp;F114&amp;CHAR(10)&amp;"Email: "&amp;G114&amp;CHAR(10)&amp;"Prefers: "&amp;H114&amp;CHAR(10)&amp;"Enquiry: "&amp;LEFT(I114,600)&amp;CHAR(10)&amp;CHAR(10)&amp;"Sent from the Preston Mazda enquiry log.","%","%25"),"&amp;","%26")," ","%20"),"#","%23"),CHAR(10),"%0A"),"✉ Email parts"),"")</f>
        <v/>
      </c>
      <c r="U114" s="18" t="str">
        <f aca="false">IF(AND(N114="Yes",O114&lt;&gt;"Yes"),HYPERLINK("mailto:"&amp;Settings!$B$6&amp;"?subject="&amp;SUBSTITUTE(SUBSTITUTE(SUBSTITUTE(SUBSTITUTE(SUBSTITUTE("Customer contact required - "&amp;D114&amp;" "&amp;E114,"%","%25"),"&amp;","%26")," ","%20"),"#","%23"),CHAR(10),"%0A")&amp;"&amp;body="&amp;SUBSTITUTE(SUBSTITUTE(SUBSTITUTE(SUBSTITUTE(SUBSTITUTE("Ref: "&amp;A114&amp;CHAR(10)&amp;"Customer: "&amp;D114&amp;"  "&amp;E114&amp;CHAR(10)&amp;"Phone: "&amp;F114&amp;CHAR(10)&amp;"Email: "&amp;G114&amp;CHAR(10)&amp;"Prefers: "&amp;H114&amp;CHAR(10)&amp;"Enquiry: "&amp;LEFT(I114,600)&amp;CHAR(10)&amp;CHAR(10)&amp;"Sent from the Preston Mazda enquiry log.","%","%25"),"&amp;","%26")," ","%20"),"#","%23"),CHAR(10),"%0A"),"✉ Email advisors"),"")</f>
        <v/>
      </c>
      <c r="V114" s="18" t="str">
        <f aca="false">IF(OR(M114="",IFERROR(INDEX(Staff!$B$4:$B$33,MATCH(M114,Staff!$A$4:$A$33,0)),"")=""),"",HYPERLINK("mailto:"&amp;IFERROR(INDEX(Staff!$B$4:$B$33,MATCH(M114,Staff!$A$4:$A$33,0)),"")&amp;"?subject="&amp;SUBSTITUTE(SUBSTITUTE(SUBSTITUTE(SUBSTITUTE(SUBSTITUTE("Enquiry "&amp;A114&amp;" allocated to you - "&amp;D114,"%","%25"),"&amp;","%26")," ","%20"),"#","%23"),CHAR(10),"%0A")&amp;"&amp;body="&amp;SUBSTITUTE(SUBSTITUTE(SUBSTITUTE(SUBSTITUTE(SUBSTITUTE("Ref: "&amp;A114&amp;CHAR(10)&amp;"Customer: "&amp;D114&amp;"  "&amp;E114&amp;CHAR(10)&amp;"Phone: "&amp;F114&amp;CHAR(10)&amp;"Email: "&amp;G114&amp;CHAR(10)&amp;"Prefers: "&amp;H114&amp;CHAR(10)&amp;"Enquiry: "&amp;LEFT(I114,600)&amp;CHAR(10)&amp;CHAR(10)&amp;"Sent from the Preston Mazda enquiry log.","%","%25"),"&amp;","%26")," ","%20"),"#","%23"),CHAR(10),"%0A"),"✉ Email "&amp;M114))</f>
        <v/>
      </c>
      <c r="W114" s="18" t="str">
        <f aca="false">IF(OR(P114="",IFERROR(INDEX(Staff!$E$4:$E$33,MATCH(P114,Staff!$D$4:$D$33,0)),"")=""),"",HYPERLINK("mailto:"&amp;IFERROR(INDEX(Staff!$E$4:$E$33,MATCH(P114,Staff!$D$4:$D$33,0)),"")&amp;"?subject="&amp;SUBSTITUTE(SUBSTITUTE(SUBSTITUTE(SUBSTITUTE(SUBSTITUTE("Parts quote "&amp;A114&amp;" allocated to you - "&amp;D114,"%","%25"),"&amp;","%26")," ","%20"),"#","%23"),CHAR(10),"%0A")&amp;"&amp;body="&amp;SUBSTITUTE(SUBSTITUTE(SUBSTITUTE(SUBSTITUTE(SUBSTITUTE("Ref: "&amp;A114&amp;CHAR(10)&amp;"Customer: "&amp;D114&amp;"  "&amp;E114&amp;CHAR(10)&amp;"Phone: "&amp;F114&amp;CHAR(10)&amp;"Email: "&amp;G114&amp;CHAR(10)&amp;"Prefers: "&amp;H114&amp;CHAR(10)&amp;"Enquiry: "&amp;LEFT(I114,600)&amp;CHAR(10)&amp;CHAR(10)&amp;"Sent from the Preston Mazda enquiry log.","%","%25"),"&amp;","%26")," ","%20"),"#","%23"),CHAR(10),"%0A"),"✉ Email "&amp;P114))</f>
        <v/>
      </c>
    </row>
    <row r="115" customFormat="false" ht="15" hidden="false" customHeight="false" outlineLevel="0" collapsed="false">
      <c r="A115" s="10" t="str">
        <f aca="false">IF(D115="","","E-"&amp;TEXT(ROW()-3,"0000"))</f>
        <v/>
      </c>
      <c r="B115" s="11"/>
      <c r="C115" s="12"/>
      <c r="D115" s="13"/>
      <c r="E115" s="14"/>
      <c r="F115" s="12"/>
      <c r="G115" s="12"/>
      <c r="H115" s="15"/>
      <c r="I115" s="16"/>
      <c r="J115" s="17" t="str">
        <f aca="false">IF(D115="","",HYPERLINK(Settings!$B$7&amp;A115&amp;".pdf","Open "&amp;A115&amp;".pdf"))</f>
        <v/>
      </c>
      <c r="K115" s="16"/>
      <c r="L115" s="12"/>
      <c r="M115" s="12"/>
      <c r="N115" s="15"/>
      <c r="O115" s="15"/>
      <c r="P115" s="12"/>
      <c r="Q115" s="15"/>
      <c r="R115" s="15"/>
      <c r="S115" s="15" t="str">
        <f aca="false">IF(D115="","",IF(AND(O115="Yes",OR(Q115&lt;&gt;"Yes",R115="Yes")),"Complete","Open"))</f>
        <v/>
      </c>
      <c r="T115" s="18" t="str">
        <f aca="false">IF(AND(Q115="Yes",R115&lt;&gt;"Yes"),HYPERLINK("mailto:"&amp;Settings!$B$5&amp;"?subject="&amp;SUBSTITUTE(SUBSTITUTE(SUBSTITUTE(SUBSTITUTE(SUBSTITUTE("Parts quote required - "&amp;D115&amp;" "&amp;E115,"%","%25"),"&amp;","%26")," ","%20"),"#","%23"),CHAR(10),"%0A")&amp;"&amp;body="&amp;SUBSTITUTE(SUBSTITUTE(SUBSTITUTE(SUBSTITUTE(SUBSTITUTE("Ref: "&amp;A115&amp;CHAR(10)&amp;"Customer: "&amp;D115&amp;"  "&amp;E115&amp;CHAR(10)&amp;"Phone: "&amp;F115&amp;CHAR(10)&amp;"Email: "&amp;G115&amp;CHAR(10)&amp;"Prefers: "&amp;H115&amp;CHAR(10)&amp;"Enquiry: "&amp;LEFT(I115,600)&amp;CHAR(10)&amp;CHAR(10)&amp;"Sent from the Preston Mazda enquiry log.","%","%25"),"&amp;","%26")," ","%20"),"#","%23"),CHAR(10),"%0A"),"✉ Email parts"),"")</f>
        <v/>
      </c>
      <c r="U115" s="18" t="str">
        <f aca="false">IF(AND(N115="Yes",O115&lt;&gt;"Yes"),HYPERLINK("mailto:"&amp;Settings!$B$6&amp;"?subject="&amp;SUBSTITUTE(SUBSTITUTE(SUBSTITUTE(SUBSTITUTE(SUBSTITUTE("Customer contact required - "&amp;D115&amp;" "&amp;E115,"%","%25"),"&amp;","%26")," ","%20"),"#","%23"),CHAR(10),"%0A")&amp;"&amp;body="&amp;SUBSTITUTE(SUBSTITUTE(SUBSTITUTE(SUBSTITUTE(SUBSTITUTE("Ref: "&amp;A115&amp;CHAR(10)&amp;"Customer: "&amp;D115&amp;"  "&amp;E115&amp;CHAR(10)&amp;"Phone: "&amp;F115&amp;CHAR(10)&amp;"Email: "&amp;G115&amp;CHAR(10)&amp;"Prefers: "&amp;H115&amp;CHAR(10)&amp;"Enquiry: "&amp;LEFT(I115,600)&amp;CHAR(10)&amp;CHAR(10)&amp;"Sent from the Preston Mazda enquiry log.","%","%25"),"&amp;","%26")," ","%20"),"#","%23"),CHAR(10),"%0A"),"✉ Email advisors"),"")</f>
        <v/>
      </c>
      <c r="V115" s="18" t="str">
        <f aca="false">IF(OR(M115="",IFERROR(INDEX(Staff!$B$4:$B$33,MATCH(M115,Staff!$A$4:$A$33,0)),"")=""),"",HYPERLINK("mailto:"&amp;IFERROR(INDEX(Staff!$B$4:$B$33,MATCH(M115,Staff!$A$4:$A$33,0)),"")&amp;"?subject="&amp;SUBSTITUTE(SUBSTITUTE(SUBSTITUTE(SUBSTITUTE(SUBSTITUTE("Enquiry "&amp;A115&amp;" allocated to you - "&amp;D115,"%","%25"),"&amp;","%26")," ","%20"),"#","%23"),CHAR(10),"%0A")&amp;"&amp;body="&amp;SUBSTITUTE(SUBSTITUTE(SUBSTITUTE(SUBSTITUTE(SUBSTITUTE("Ref: "&amp;A115&amp;CHAR(10)&amp;"Customer: "&amp;D115&amp;"  "&amp;E115&amp;CHAR(10)&amp;"Phone: "&amp;F115&amp;CHAR(10)&amp;"Email: "&amp;G115&amp;CHAR(10)&amp;"Prefers: "&amp;H115&amp;CHAR(10)&amp;"Enquiry: "&amp;LEFT(I115,600)&amp;CHAR(10)&amp;CHAR(10)&amp;"Sent from the Preston Mazda enquiry log.","%","%25"),"&amp;","%26")," ","%20"),"#","%23"),CHAR(10),"%0A"),"✉ Email "&amp;M115))</f>
        <v/>
      </c>
      <c r="W115" s="18" t="str">
        <f aca="false">IF(OR(P115="",IFERROR(INDEX(Staff!$E$4:$E$33,MATCH(P115,Staff!$D$4:$D$33,0)),"")=""),"",HYPERLINK("mailto:"&amp;IFERROR(INDEX(Staff!$E$4:$E$33,MATCH(P115,Staff!$D$4:$D$33,0)),"")&amp;"?subject="&amp;SUBSTITUTE(SUBSTITUTE(SUBSTITUTE(SUBSTITUTE(SUBSTITUTE("Parts quote "&amp;A115&amp;" allocated to you - "&amp;D115,"%","%25"),"&amp;","%26")," ","%20"),"#","%23"),CHAR(10),"%0A")&amp;"&amp;body="&amp;SUBSTITUTE(SUBSTITUTE(SUBSTITUTE(SUBSTITUTE(SUBSTITUTE("Ref: "&amp;A115&amp;CHAR(10)&amp;"Customer: "&amp;D115&amp;"  "&amp;E115&amp;CHAR(10)&amp;"Phone: "&amp;F115&amp;CHAR(10)&amp;"Email: "&amp;G115&amp;CHAR(10)&amp;"Prefers: "&amp;H115&amp;CHAR(10)&amp;"Enquiry: "&amp;LEFT(I115,600)&amp;CHAR(10)&amp;CHAR(10)&amp;"Sent from the Preston Mazda enquiry log.","%","%25"),"&amp;","%26")," ","%20"),"#","%23"),CHAR(10),"%0A"),"✉ Email "&amp;P115))</f>
        <v/>
      </c>
    </row>
    <row r="116" customFormat="false" ht="15" hidden="false" customHeight="false" outlineLevel="0" collapsed="false">
      <c r="A116" s="10" t="str">
        <f aca="false">IF(D116="","","E-"&amp;TEXT(ROW()-3,"0000"))</f>
        <v/>
      </c>
      <c r="B116" s="11"/>
      <c r="C116" s="12"/>
      <c r="D116" s="13"/>
      <c r="E116" s="14"/>
      <c r="F116" s="12"/>
      <c r="G116" s="12"/>
      <c r="H116" s="15"/>
      <c r="I116" s="16"/>
      <c r="J116" s="17" t="str">
        <f aca="false">IF(D116="","",HYPERLINK(Settings!$B$7&amp;A116&amp;".pdf","Open "&amp;A116&amp;".pdf"))</f>
        <v/>
      </c>
      <c r="K116" s="16"/>
      <c r="L116" s="12"/>
      <c r="M116" s="12"/>
      <c r="N116" s="15"/>
      <c r="O116" s="15"/>
      <c r="P116" s="12"/>
      <c r="Q116" s="15"/>
      <c r="R116" s="15"/>
      <c r="S116" s="15" t="str">
        <f aca="false">IF(D116="","",IF(AND(O116="Yes",OR(Q116&lt;&gt;"Yes",R116="Yes")),"Complete","Open"))</f>
        <v/>
      </c>
      <c r="T116" s="18" t="str">
        <f aca="false">IF(AND(Q116="Yes",R116&lt;&gt;"Yes"),HYPERLINK("mailto:"&amp;Settings!$B$5&amp;"?subject="&amp;SUBSTITUTE(SUBSTITUTE(SUBSTITUTE(SUBSTITUTE(SUBSTITUTE("Parts quote required - "&amp;D116&amp;" "&amp;E116,"%","%25"),"&amp;","%26")," ","%20"),"#","%23"),CHAR(10),"%0A")&amp;"&amp;body="&amp;SUBSTITUTE(SUBSTITUTE(SUBSTITUTE(SUBSTITUTE(SUBSTITUTE("Ref: "&amp;A116&amp;CHAR(10)&amp;"Customer: "&amp;D116&amp;"  "&amp;E116&amp;CHAR(10)&amp;"Phone: "&amp;F116&amp;CHAR(10)&amp;"Email: "&amp;G116&amp;CHAR(10)&amp;"Prefers: "&amp;H116&amp;CHAR(10)&amp;"Enquiry: "&amp;LEFT(I116,600)&amp;CHAR(10)&amp;CHAR(10)&amp;"Sent from the Preston Mazda enquiry log.","%","%25"),"&amp;","%26")," ","%20"),"#","%23"),CHAR(10),"%0A"),"✉ Email parts"),"")</f>
        <v/>
      </c>
      <c r="U116" s="18" t="str">
        <f aca="false">IF(AND(N116="Yes",O116&lt;&gt;"Yes"),HYPERLINK("mailto:"&amp;Settings!$B$6&amp;"?subject="&amp;SUBSTITUTE(SUBSTITUTE(SUBSTITUTE(SUBSTITUTE(SUBSTITUTE("Customer contact required - "&amp;D116&amp;" "&amp;E116,"%","%25"),"&amp;","%26")," ","%20"),"#","%23"),CHAR(10),"%0A")&amp;"&amp;body="&amp;SUBSTITUTE(SUBSTITUTE(SUBSTITUTE(SUBSTITUTE(SUBSTITUTE("Ref: "&amp;A116&amp;CHAR(10)&amp;"Customer: "&amp;D116&amp;"  "&amp;E116&amp;CHAR(10)&amp;"Phone: "&amp;F116&amp;CHAR(10)&amp;"Email: "&amp;G116&amp;CHAR(10)&amp;"Prefers: "&amp;H116&amp;CHAR(10)&amp;"Enquiry: "&amp;LEFT(I116,600)&amp;CHAR(10)&amp;CHAR(10)&amp;"Sent from the Preston Mazda enquiry log.","%","%25"),"&amp;","%26")," ","%20"),"#","%23"),CHAR(10),"%0A"),"✉ Email advisors"),"")</f>
        <v/>
      </c>
      <c r="V116" s="18" t="str">
        <f aca="false">IF(OR(M116="",IFERROR(INDEX(Staff!$B$4:$B$33,MATCH(M116,Staff!$A$4:$A$33,0)),"")=""),"",HYPERLINK("mailto:"&amp;IFERROR(INDEX(Staff!$B$4:$B$33,MATCH(M116,Staff!$A$4:$A$33,0)),"")&amp;"?subject="&amp;SUBSTITUTE(SUBSTITUTE(SUBSTITUTE(SUBSTITUTE(SUBSTITUTE("Enquiry "&amp;A116&amp;" allocated to you - "&amp;D116,"%","%25"),"&amp;","%26")," ","%20"),"#","%23"),CHAR(10),"%0A")&amp;"&amp;body="&amp;SUBSTITUTE(SUBSTITUTE(SUBSTITUTE(SUBSTITUTE(SUBSTITUTE("Ref: "&amp;A116&amp;CHAR(10)&amp;"Customer: "&amp;D116&amp;"  "&amp;E116&amp;CHAR(10)&amp;"Phone: "&amp;F116&amp;CHAR(10)&amp;"Email: "&amp;G116&amp;CHAR(10)&amp;"Prefers: "&amp;H116&amp;CHAR(10)&amp;"Enquiry: "&amp;LEFT(I116,600)&amp;CHAR(10)&amp;CHAR(10)&amp;"Sent from the Preston Mazda enquiry log.","%","%25"),"&amp;","%26")," ","%20"),"#","%23"),CHAR(10),"%0A"),"✉ Email "&amp;M116))</f>
        <v/>
      </c>
      <c r="W116" s="18" t="str">
        <f aca="false">IF(OR(P116="",IFERROR(INDEX(Staff!$E$4:$E$33,MATCH(P116,Staff!$D$4:$D$33,0)),"")=""),"",HYPERLINK("mailto:"&amp;IFERROR(INDEX(Staff!$E$4:$E$33,MATCH(P116,Staff!$D$4:$D$33,0)),"")&amp;"?subject="&amp;SUBSTITUTE(SUBSTITUTE(SUBSTITUTE(SUBSTITUTE(SUBSTITUTE("Parts quote "&amp;A116&amp;" allocated to you - "&amp;D116,"%","%25"),"&amp;","%26")," ","%20"),"#","%23"),CHAR(10),"%0A")&amp;"&amp;body="&amp;SUBSTITUTE(SUBSTITUTE(SUBSTITUTE(SUBSTITUTE(SUBSTITUTE("Ref: "&amp;A116&amp;CHAR(10)&amp;"Customer: "&amp;D116&amp;"  "&amp;E116&amp;CHAR(10)&amp;"Phone: "&amp;F116&amp;CHAR(10)&amp;"Email: "&amp;G116&amp;CHAR(10)&amp;"Prefers: "&amp;H116&amp;CHAR(10)&amp;"Enquiry: "&amp;LEFT(I116,600)&amp;CHAR(10)&amp;CHAR(10)&amp;"Sent from the Preston Mazda enquiry log.","%","%25"),"&amp;","%26")," ","%20"),"#","%23"),CHAR(10),"%0A"),"✉ Email "&amp;P116))</f>
        <v/>
      </c>
    </row>
    <row r="117" customFormat="false" ht="15" hidden="false" customHeight="false" outlineLevel="0" collapsed="false">
      <c r="A117" s="10" t="str">
        <f aca="false">IF(D117="","","E-"&amp;TEXT(ROW()-3,"0000"))</f>
        <v/>
      </c>
      <c r="B117" s="11"/>
      <c r="C117" s="12"/>
      <c r="D117" s="13"/>
      <c r="E117" s="14"/>
      <c r="F117" s="12"/>
      <c r="G117" s="12"/>
      <c r="H117" s="15"/>
      <c r="I117" s="16"/>
      <c r="J117" s="17" t="str">
        <f aca="false">IF(D117="","",HYPERLINK(Settings!$B$7&amp;A117&amp;".pdf","Open "&amp;A117&amp;".pdf"))</f>
        <v/>
      </c>
      <c r="K117" s="16"/>
      <c r="L117" s="12"/>
      <c r="M117" s="12"/>
      <c r="N117" s="15"/>
      <c r="O117" s="15"/>
      <c r="P117" s="12"/>
      <c r="Q117" s="15"/>
      <c r="R117" s="15"/>
      <c r="S117" s="15" t="str">
        <f aca="false">IF(D117="","",IF(AND(O117="Yes",OR(Q117&lt;&gt;"Yes",R117="Yes")),"Complete","Open"))</f>
        <v/>
      </c>
      <c r="T117" s="18" t="str">
        <f aca="false">IF(AND(Q117="Yes",R117&lt;&gt;"Yes"),HYPERLINK("mailto:"&amp;Settings!$B$5&amp;"?subject="&amp;SUBSTITUTE(SUBSTITUTE(SUBSTITUTE(SUBSTITUTE(SUBSTITUTE("Parts quote required - "&amp;D117&amp;" "&amp;E117,"%","%25"),"&amp;","%26")," ","%20"),"#","%23"),CHAR(10),"%0A")&amp;"&amp;body="&amp;SUBSTITUTE(SUBSTITUTE(SUBSTITUTE(SUBSTITUTE(SUBSTITUTE("Ref: "&amp;A117&amp;CHAR(10)&amp;"Customer: "&amp;D117&amp;"  "&amp;E117&amp;CHAR(10)&amp;"Phone: "&amp;F117&amp;CHAR(10)&amp;"Email: "&amp;G117&amp;CHAR(10)&amp;"Prefers: "&amp;H117&amp;CHAR(10)&amp;"Enquiry: "&amp;LEFT(I117,600)&amp;CHAR(10)&amp;CHAR(10)&amp;"Sent from the Preston Mazda enquiry log.","%","%25"),"&amp;","%26")," ","%20"),"#","%23"),CHAR(10),"%0A"),"✉ Email parts"),"")</f>
        <v/>
      </c>
      <c r="U117" s="18" t="str">
        <f aca="false">IF(AND(N117="Yes",O117&lt;&gt;"Yes"),HYPERLINK("mailto:"&amp;Settings!$B$6&amp;"?subject="&amp;SUBSTITUTE(SUBSTITUTE(SUBSTITUTE(SUBSTITUTE(SUBSTITUTE("Customer contact required - "&amp;D117&amp;" "&amp;E117,"%","%25"),"&amp;","%26")," ","%20"),"#","%23"),CHAR(10),"%0A")&amp;"&amp;body="&amp;SUBSTITUTE(SUBSTITUTE(SUBSTITUTE(SUBSTITUTE(SUBSTITUTE("Ref: "&amp;A117&amp;CHAR(10)&amp;"Customer: "&amp;D117&amp;"  "&amp;E117&amp;CHAR(10)&amp;"Phone: "&amp;F117&amp;CHAR(10)&amp;"Email: "&amp;G117&amp;CHAR(10)&amp;"Prefers: "&amp;H117&amp;CHAR(10)&amp;"Enquiry: "&amp;LEFT(I117,600)&amp;CHAR(10)&amp;CHAR(10)&amp;"Sent from the Preston Mazda enquiry log.","%","%25"),"&amp;","%26")," ","%20"),"#","%23"),CHAR(10),"%0A"),"✉ Email advisors"),"")</f>
        <v/>
      </c>
      <c r="V117" s="18" t="str">
        <f aca="false">IF(OR(M117="",IFERROR(INDEX(Staff!$B$4:$B$33,MATCH(M117,Staff!$A$4:$A$33,0)),"")=""),"",HYPERLINK("mailto:"&amp;IFERROR(INDEX(Staff!$B$4:$B$33,MATCH(M117,Staff!$A$4:$A$33,0)),"")&amp;"?subject="&amp;SUBSTITUTE(SUBSTITUTE(SUBSTITUTE(SUBSTITUTE(SUBSTITUTE("Enquiry "&amp;A117&amp;" allocated to you - "&amp;D117,"%","%25"),"&amp;","%26")," ","%20"),"#","%23"),CHAR(10),"%0A")&amp;"&amp;body="&amp;SUBSTITUTE(SUBSTITUTE(SUBSTITUTE(SUBSTITUTE(SUBSTITUTE("Ref: "&amp;A117&amp;CHAR(10)&amp;"Customer: "&amp;D117&amp;"  "&amp;E117&amp;CHAR(10)&amp;"Phone: "&amp;F117&amp;CHAR(10)&amp;"Email: "&amp;G117&amp;CHAR(10)&amp;"Prefers: "&amp;H117&amp;CHAR(10)&amp;"Enquiry: "&amp;LEFT(I117,600)&amp;CHAR(10)&amp;CHAR(10)&amp;"Sent from the Preston Mazda enquiry log.","%","%25"),"&amp;","%26")," ","%20"),"#","%23"),CHAR(10),"%0A"),"✉ Email "&amp;M117))</f>
        <v/>
      </c>
      <c r="W117" s="18" t="str">
        <f aca="false">IF(OR(P117="",IFERROR(INDEX(Staff!$E$4:$E$33,MATCH(P117,Staff!$D$4:$D$33,0)),"")=""),"",HYPERLINK("mailto:"&amp;IFERROR(INDEX(Staff!$E$4:$E$33,MATCH(P117,Staff!$D$4:$D$33,0)),"")&amp;"?subject="&amp;SUBSTITUTE(SUBSTITUTE(SUBSTITUTE(SUBSTITUTE(SUBSTITUTE("Parts quote "&amp;A117&amp;" allocated to you - "&amp;D117,"%","%25"),"&amp;","%26")," ","%20"),"#","%23"),CHAR(10),"%0A")&amp;"&amp;body="&amp;SUBSTITUTE(SUBSTITUTE(SUBSTITUTE(SUBSTITUTE(SUBSTITUTE("Ref: "&amp;A117&amp;CHAR(10)&amp;"Customer: "&amp;D117&amp;"  "&amp;E117&amp;CHAR(10)&amp;"Phone: "&amp;F117&amp;CHAR(10)&amp;"Email: "&amp;G117&amp;CHAR(10)&amp;"Prefers: "&amp;H117&amp;CHAR(10)&amp;"Enquiry: "&amp;LEFT(I117,600)&amp;CHAR(10)&amp;CHAR(10)&amp;"Sent from the Preston Mazda enquiry log.","%","%25"),"&amp;","%26")," ","%20"),"#","%23"),CHAR(10),"%0A"),"✉ Email "&amp;P117))</f>
        <v/>
      </c>
    </row>
    <row r="118" customFormat="false" ht="15" hidden="false" customHeight="false" outlineLevel="0" collapsed="false">
      <c r="A118" s="10" t="str">
        <f aca="false">IF(D118="","","E-"&amp;TEXT(ROW()-3,"0000"))</f>
        <v/>
      </c>
      <c r="B118" s="11"/>
      <c r="C118" s="12"/>
      <c r="D118" s="13"/>
      <c r="E118" s="14"/>
      <c r="F118" s="12"/>
      <c r="G118" s="12"/>
      <c r="H118" s="15"/>
      <c r="I118" s="16"/>
      <c r="J118" s="17" t="str">
        <f aca="false">IF(D118="","",HYPERLINK(Settings!$B$7&amp;A118&amp;".pdf","Open "&amp;A118&amp;".pdf"))</f>
        <v/>
      </c>
      <c r="K118" s="16"/>
      <c r="L118" s="12"/>
      <c r="M118" s="12"/>
      <c r="N118" s="15"/>
      <c r="O118" s="15"/>
      <c r="P118" s="12"/>
      <c r="Q118" s="15"/>
      <c r="R118" s="15"/>
      <c r="S118" s="15" t="str">
        <f aca="false">IF(D118="","",IF(AND(O118="Yes",OR(Q118&lt;&gt;"Yes",R118="Yes")),"Complete","Open"))</f>
        <v/>
      </c>
      <c r="T118" s="18" t="str">
        <f aca="false">IF(AND(Q118="Yes",R118&lt;&gt;"Yes"),HYPERLINK("mailto:"&amp;Settings!$B$5&amp;"?subject="&amp;SUBSTITUTE(SUBSTITUTE(SUBSTITUTE(SUBSTITUTE(SUBSTITUTE("Parts quote required - "&amp;D118&amp;" "&amp;E118,"%","%25"),"&amp;","%26")," ","%20"),"#","%23"),CHAR(10),"%0A")&amp;"&amp;body="&amp;SUBSTITUTE(SUBSTITUTE(SUBSTITUTE(SUBSTITUTE(SUBSTITUTE("Ref: "&amp;A118&amp;CHAR(10)&amp;"Customer: "&amp;D118&amp;"  "&amp;E118&amp;CHAR(10)&amp;"Phone: "&amp;F118&amp;CHAR(10)&amp;"Email: "&amp;G118&amp;CHAR(10)&amp;"Prefers: "&amp;H118&amp;CHAR(10)&amp;"Enquiry: "&amp;LEFT(I118,600)&amp;CHAR(10)&amp;CHAR(10)&amp;"Sent from the Preston Mazda enquiry log.","%","%25"),"&amp;","%26")," ","%20"),"#","%23"),CHAR(10),"%0A"),"✉ Email parts"),"")</f>
        <v/>
      </c>
      <c r="U118" s="18" t="str">
        <f aca="false">IF(AND(N118="Yes",O118&lt;&gt;"Yes"),HYPERLINK("mailto:"&amp;Settings!$B$6&amp;"?subject="&amp;SUBSTITUTE(SUBSTITUTE(SUBSTITUTE(SUBSTITUTE(SUBSTITUTE("Customer contact required - "&amp;D118&amp;" "&amp;E118,"%","%25"),"&amp;","%26")," ","%20"),"#","%23"),CHAR(10),"%0A")&amp;"&amp;body="&amp;SUBSTITUTE(SUBSTITUTE(SUBSTITUTE(SUBSTITUTE(SUBSTITUTE("Ref: "&amp;A118&amp;CHAR(10)&amp;"Customer: "&amp;D118&amp;"  "&amp;E118&amp;CHAR(10)&amp;"Phone: "&amp;F118&amp;CHAR(10)&amp;"Email: "&amp;G118&amp;CHAR(10)&amp;"Prefers: "&amp;H118&amp;CHAR(10)&amp;"Enquiry: "&amp;LEFT(I118,600)&amp;CHAR(10)&amp;CHAR(10)&amp;"Sent from the Preston Mazda enquiry log.","%","%25"),"&amp;","%26")," ","%20"),"#","%23"),CHAR(10),"%0A"),"✉ Email advisors"),"")</f>
        <v/>
      </c>
      <c r="V118" s="18" t="str">
        <f aca="false">IF(OR(M118="",IFERROR(INDEX(Staff!$B$4:$B$33,MATCH(M118,Staff!$A$4:$A$33,0)),"")=""),"",HYPERLINK("mailto:"&amp;IFERROR(INDEX(Staff!$B$4:$B$33,MATCH(M118,Staff!$A$4:$A$33,0)),"")&amp;"?subject="&amp;SUBSTITUTE(SUBSTITUTE(SUBSTITUTE(SUBSTITUTE(SUBSTITUTE("Enquiry "&amp;A118&amp;" allocated to you - "&amp;D118,"%","%25"),"&amp;","%26")," ","%20"),"#","%23"),CHAR(10),"%0A")&amp;"&amp;body="&amp;SUBSTITUTE(SUBSTITUTE(SUBSTITUTE(SUBSTITUTE(SUBSTITUTE("Ref: "&amp;A118&amp;CHAR(10)&amp;"Customer: "&amp;D118&amp;"  "&amp;E118&amp;CHAR(10)&amp;"Phone: "&amp;F118&amp;CHAR(10)&amp;"Email: "&amp;G118&amp;CHAR(10)&amp;"Prefers: "&amp;H118&amp;CHAR(10)&amp;"Enquiry: "&amp;LEFT(I118,600)&amp;CHAR(10)&amp;CHAR(10)&amp;"Sent from the Preston Mazda enquiry log.","%","%25"),"&amp;","%26")," ","%20"),"#","%23"),CHAR(10),"%0A"),"✉ Email "&amp;M118))</f>
        <v/>
      </c>
      <c r="W118" s="18" t="str">
        <f aca="false">IF(OR(P118="",IFERROR(INDEX(Staff!$E$4:$E$33,MATCH(P118,Staff!$D$4:$D$33,0)),"")=""),"",HYPERLINK("mailto:"&amp;IFERROR(INDEX(Staff!$E$4:$E$33,MATCH(P118,Staff!$D$4:$D$33,0)),"")&amp;"?subject="&amp;SUBSTITUTE(SUBSTITUTE(SUBSTITUTE(SUBSTITUTE(SUBSTITUTE("Parts quote "&amp;A118&amp;" allocated to you - "&amp;D118,"%","%25"),"&amp;","%26")," ","%20"),"#","%23"),CHAR(10),"%0A")&amp;"&amp;body="&amp;SUBSTITUTE(SUBSTITUTE(SUBSTITUTE(SUBSTITUTE(SUBSTITUTE("Ref: "&amp;A118&amp;CHAR(10)&amp;"Customer: "&amp;D118&amp;"  "&amp;E118&amp;CHAR(10)&amp;"Phone: "&amp;F118&amp;CHAR(10)&amp;"Email: "&amp;G118&amp;CHAR(10)&amp;"Prefers: "&amp;H118&amp;CHAR(10)&amp;"Enquiry: "&amp;LEFT(I118,600)&amp;CHAR(10)&amp;CHAR(10)&amp;"Sent from the Preston Mazda enquiry log.","%","%25"),"&amp;","%26")," ","%20"),"#","%23"),CHAR(10),"%0A"),"✉ Email "&amp;P118))</f>
        <v/>
      </c>
    </row>
    <row r="119" customFormat="false" ht="15" hidden="false" customHeight="false" outlineLevel="0" collapsed="false">
      <c r="A119" s="10" t="str">
        <f aca="false">IF(D119="","","E-"&amp;TEXT(ROW()-3,"0000"))</f>
        <v/>
      </c>
      <c r="B119" s="11"/>
      <c r="C119" s="12"/>
      <c r="D119" s="13"/>
      <c r="E119" s="14"/>
      <c r="F119" s="12"/>
      <c r="G119" s="12"/>
      <c r="H119" s="15"/>
      <c r="I119" s="16"/>
      <c r="J119" s="17" t="str">
        <f aca="false">IF(D119="","",HYPERLINK(Settings!$B$7&amp;A119&amp;".pdf","Open "&amp;A119&amp;".pdf"))</f>
        <v/>
      </c>
      <c r="K119" s="16"/>
      <c r="L119" s="12"/>
      <c r="M119" s="12"/>
      <c r="N119" s="15"/>
      <c r="O119" s="15"/>
      <c r="P119" s="12"/>
      <c r="Q119" s="15"/>
      <c r="R119" s="15"/>
      <c r="S119" s="15" t="str">
        <f aca="false">IF(D119="","",IF(AND(O119="Yes",OR(Q119&lt;&gt;"Yes",R119="Yes")),"Complete","Open"))</f>
        <v/>
      </c>
      <c r="T119" s="18" t="str">
        <f aca="false">IF(AND(Q119="Yes",R119&lt;&gt;"Yes"),HYPERLINK("mailto:"&amp;Settings!$B$5&amp;"?subject="&amp;SUBSTITUTE(SUBSTITUTE(SUBSTITUTE(SUBSTITUTE(SUBSTITUTE("Parts quote required - "&amp;D119&amp;" "&amp;E119,"%","%25"),"&amp;","%26")," ","%20"),"#","%23"),CHAR(10),"%0A")&amp;"&amp;body="&amp;SUBSTITUTE(SUBSTITUTE(SUBSTITUTE(SUBSTITUTE(SUBSTITUTE("Ref: "&amp;A119&amp;CHAR(10)&amp;"Customer: "&amp;D119&amp;"  "&amp;E119&amp;CHAR(10)&amp;"Phone: "&amp;F119&amp;CHAR(10)&amp;"Email: "&amp;G119&amp;CHAR(10)&amp;"Prefers: "&amp;H119&amp;CHAR(10)&amp;"Enquiry: "&amp;LEFT(I119,600)&amp;CHAR(10)&amp;CHAR(10)&amp;"Sent from the Preston Mazda enquiry log.","%","%25"),"&amp;","%26")," ","%20"),"#","%23"),CHAR(10),"%0A"),"✉ Email parts"),"")</f>
        <v/>
      </c>
      <c r="U119" s="18" t="str">
        <f aca="false">IF(AND(N119="Yes",O119&lt;&gt;"Yes"),HYPERLINK("mailto:"&amp;Settings!$B$6&amp;"?subject="&amp;SUBSTITUTE(SUBSTITUTE(SUBSTITUTE(SUBSTITUTE(SUBSTITUTE("Customer contact required - "&amp;D119&amp;" "&amp;E119,"%","%25"),"&amp;","%26")," ","%20"),"#","%23"),CHAR(10),"%0A")&amp;"&amp;body="&amp;SUBSTITUTE(SUBSTITUTE(SUBSTITUTE(SUBSTITUTE(SUBSTITUTE("Ref: "&amp;A119&amp;CHAR(10)&amp;"Customer: "&amp;D119&amp;"  "&amp;E119&amp;CHAR(10)&amp;"Phone: "&amp;F119&amp;CHAR(10)&amp;"Email: "&amp;G119&amp;CHAR(10)&amp;"Prefers: "&amp;H119&amp;CHAR(10)&amp;"Enquiry: "&amp;LEFT(I119,600)&amp;CHAR(10)&amp;CHAR(10)&amp;"Sent from the Preston Mazda enquiry log.","%","%25"),"&amp;","%26")," ","%20"),"#","%23"),CHAR(10),"%0A"),"✉ Email advisors"),"")</f>
        <v/>
      </c>
      <c r="V119" s="18" t="str">
        <f aca="false">IF(OR(M119="",IFERROR(INDEX(Staff!$B$4:$B$33,MATCH(M119,Staff!$A$4:$A$33,0)),"")=""),"",HYPERLINK("mailto:"&amp;IFERROR(INDEX(Staff!$B$4:$B$33,MATCH(M119,Staff!$A$4:$A$33,0)),"")&amp;"?subject="&amp;SUBSTITUTE(SUBSTITUTE(SUBSTITUTE(SUBSTITUTE(SUBSTITUTE("Enquiry "&amp;A119&amp;" allocated to you - "&amp;D119,"%","%25"),"&amp;","%26")," ","%20"),"#","%23"),CHAR(10),"%0A")&amp;"&amp;body="&amp;SUBSTITUTE(SUBSTITUTE(SUBSTITUTE(SUBSTITUTE(SUBSTITUTE("Ref: "&amp;A119&amp;CHAR(10)&amp;"Customer: "&amp;D119&amp;"  "&amp;E119&amp;CHAR(10)&amp;"Phone: "&amp;F119&amp;CHAR(10)&amp;"Email: "&amp;G119&amp;CHAR(10)&amp;"Prefers: "&amp;H119&amp;CHAR(10)&amp;"Enquiry: "&amp;LEFT(I119,600)&amp;CHAR(10)&amp;CHAR(10)&amp;"Sent from the Preston Mazda enquiry log.","%","%25"),"&amp;","%26")," ","%20"),"#","%23"),CHAR(10),"%0A"),"✉ Email "&amp;M119))</f>
        <v/>
      </c>
      <c r="W119" s="18" t="str">
        <f aca="false">IF(OR(P119="",IFERROR(INDEX(Staff!$E$4:$E$33,MATCH(P119,Staff!$D$4:$D$33,0)),"")=""),"",HYPERLINK("mailto:"&amp;IFERROR(INDEX(Staff!$E$4:$E$33,MATCH(P119,Staff!$D$4:$D$33,0)),"")&amp;"?subject="&amp;SUBSTITUTE(SUBSTITUTE(SUBSTITUTE(SUBSTITUTE(SUBSTITUTE("Parts quote "&amp;A119&amp;" allocated to you - "&amp;D119,"%","%25"),"&amp;","%26")," ","%20"),"#","%23"),CHAR(10),"%0A")&amp;"&amp;body="&amp;SUBSTITUTE(SUBSTITUTE(SUBSTITUTE(SUBSTITUTE(SUBSTITUTE("Ref: "&amp;A119&amp;CHAR(10)&amp;"Customer: "&amp;D119&amp;"  "&amp;E119&amp;CHAR(10)&amp;"Phone: "&amp;F119&amp;CHAR(10)&amp;"Email: "&amp;G119&amp;CHAR(10)&amp;"Prefers: "&amp;H119&amp;CHAR(10)&amp;"Enquiry: "&amp;LEFT(I119,600)&amp;CHAR(10)&amp;CHAR(10)&amp;"Sent from the Preston Mazda enquiry log.","%","%25"),"&amp;","%26")," ","%20"),"#","%23"),CHAR(10),"%0A"),"✉ Email "&amp;P119))</f>
        <v/>
      </c>
    </row>
    <row r="120" customFormat="false" ht="15" hidden="false" customHeight="false" outlineLevel="0" collapsed="false">
      <c r="A120" s="10" t="str">
        <f aca="false">IF(D120="","","E-"&amp;TEXT(ROW()-3,"0000"))</f>
        <v/>
      </c>
      <c r="B120" s="11"/>
      <c r="C120" s="12"/>
      <c r="D120" s="13"/>
      <c r="E120" s="14"/>
      <c r="F120" s="12"/>
      <c r="G120" s="12"/>
      <c r="H120" s="15"/>
      <c r="I120" s="16"/>
      <c r="J120" s="17" t="str">
        <f aca="false">IF(D120="","",HYPERLINK(Settings!$B$7&amp;A120&amp;".pdf","Open "&amp;A120&amp;".pdf"))</f>
        <v/>
      </c>
      <c r="K120" s="16"/>
      <c r="L120" s="12"/>
      <c r="M120" s="12"/>
      <c r="N120" s="15"/>
      <c r="O120" s="15"/>
      <c r="P120" s="12"/>
      <c r="Q120" s="15"/>
      <c r="R120" s="15"/>
      <c r="S120" s="15" t="str">
        <f aca="false">IF(D120="","",IF(AND(O120="Yes",OR(Q120&lt;&gt;"Yes",R120="Yes")),"Complete","Open"))</f>
        <v/>
      </c>
      <c r="T120" s="18" t="str">
        <f aca="false">IF(AND(Q120="Yes",R120&lt;&gt;"Yes"),HYPERLINK("mailto:"&amp;Settings!$B$5&amp;"?subject="&amp;SUBSTITUTE(SUBSTITUTE(SUBSTITUTE(SUBSTITUTE(SUBSTITUTE("Parts quote required - "&amp;D120&amp;" "&amp;E120,"%","%25"),"&amp;","%26")," ","%20"),"#","%23"),CHAR(10),"%0A")&amp;"&amp;body="&amp;SUBSTITUTE(SUBSTITUTE(SUBSTITUTE(SUBSTITUTE(SUBSTITUTE("Ref: "&amp;A120&amp;CHAR(10)&amp;"Customer: "&amp;D120&amp;"  "&amp;E120&amp;CHAR(10)&amp;"Phone: "&amp;F120&amp;CHAR(10)&amp;"Email: "&amp;G120&amp;CHAR(10)&amp;"Prefers: "&amp;H120&amp;CHAR(10)&amp;"Enquiry: "&amp;LEFT(I120,600)&amp;CHAR(10)&amp;CHAR(10)&amp;"Sent from the Preston Mazda enquiry log.","%","%25"),"&amp;","%26")," ","%20"),"#","%23"),CHAR(10),"%0A"),"✉ Email parts"),"")</f>
        <v/>
      </c>
      <c r="U120" s="18" t="str">
        <f aca="false">IF(AND(N120="Yes",O120&lt;&gt;"Yes"),HYPERLINK("mailto:"&amp;Settings!$B$6&amp;"?subject="&amp;SUBSTITUTE(SUBSTITUTE(SUBSTITUTE(SUBSTITUTE(SUBSTITUTE("Customer contact required - "&amp;D120&amp;" "&amp;E120,"%","%25"),"&amp;","%26")," ","%20"),"#","%23"),CHAR(10),"%0A")&amp;"&amp;body="&amp;SUBSTITUTE(SUBSTITUTE(SUBSTITUTE(SUBSTITUTE(SUBSTITUTE("Ref: "&amp;A120&amp;CHAR(10)&amp;"Customer: "&amp;D120&amp;"  "&amp;E120&amp;CHAR(10)&amp;"Phone: "&amp;F120&amp;CHAR(10)&amp;"Email: "&amp;G120&amp;CHAR(10)&amp;"Prefers: "&amp;H120&amp;CHAR(10)&amp;"Enquiry: "&amp;LEFT(I120,600)&amp;CHAR(10)&amp;CHAR(10)&amp;"Sent from the Preston Mazda enquiry log.","%","%25"),"&amp;","%26")," ","%20"),"#","%23"),CHAR(10),"%0A"),"✉ Email advisors"),"")</f>
        <v/>
      </c>
      <c r="V120" s="18" t="str">
        <f aca="false">IF(OR(M120="",IFERROR(INDEX(Staff!$B$4:$B$33,MATCH(M120,Staff!$A$4:$A$33,0)),"")=""),"",HYPERLINK("mailto:"&amp;IFERROR(INDEX(Staff!$B$4:$B$33,MATCH(M120,Staff!$A$4:$A$33,0)),"")&amp;"?subject="&amp;SUBSTITUTE(SUBSTITUTE(SUBSTITUTE(SUBSTITUTE(SUBSTITUTE("Enquiry "&amp;A120&amp;" allocated to you - "&amp;D120,"%","%25"),"&amp;","%26")," ","%20"),"#","%23"),CHAR(10),"%0A")&amp;"&amp;body="&amp;SUBSTITUTE(SUBSTITUTE(SUBSTITUTE(SUBSTITUTE(SUBSTITUTE("Ref: "&amp;A120&amp;CHAR(10)&amp;"Customer: "&amp;D120&amp;"  "&amp;E120&amp;CHAR(10)&amp;"Phone: "&amp;F120&amp;CHAR(10)&amp;"Email: "&amp;G120&amp;CHAR(10)&amp;"Prefers: "&amp;H120&amp;CHAR(10)&amp;"Enquiry: "&amp;LEFT(I120,600)&amp;CHAR(10)&amp;CHAR(10)&amp;"Sent from the Preston Mazda enquiry log.","%","%25"),"&amp;","%26")," ","%20"),"#","%23"),CHAR(10),"%0A"),"✉ Email "&amp;M120))</f>
        <v/>
      </c>
      <c r="W120" s="18" t="str">
        <f aca="false">IF(OR(P120="",IFERROR(INDEX(Staff!$E$4:$E$33,MATCH(P120,Staff!$D$4:$D$33,0)),"")=""),"",HYPERLINK("mailto:"&amp;IFERROR(INDEX(Staff!$E$4:$E$33,MATCH(P120,Staff!$D$4:$D$33,0)),"")&amp;"?subject="&amp;SUBSTITUTE(SUBSTITUTE(SUBSTITUTE(SUBSTITUTE(SUBSTITUTE("Parts quote "&amp;A120&amp;" allocated to you - "&amp;D120,"%","%25"),"&amp;","%26")," ","%20"),"#","%23"),CHAR(10),"%0A")&amp;"&amp;body="&amp;SUBSTITUTE(SUBSTITUTE(SUBSTITUTE(SUBSTITUTE(SUBSTITUTE("Ref: "&amp;A120&amp;CHAR(10)&amp;"Customer: "&amp;D120&amp;"  "&amp;E120&amp;CHAR(10)&amp;"Phone: "&amp;F120&amp;CHAR(10)&amp;"Email: "&amp;G120&amp;CHAR(10)&amp;"Prefers: "&amp;H120&amp;CHAR(10)&amp;"Enquiry: "&amp;LEFT(I120,600)&amp;CHAR(10)&amp;CHAR(10)&amp;"Sent from the Preston Mazda enquiry log.","%","%25"),"&amp;","%26")," ","%20"),"#","%23"),CHAR(10),"%0A"),"✉ Email "&amp;P120))</f>
        <v/>
      </c>
    </row>
    <row r="121" customFormat="false" ht="15" hidden="false" customHeight="false" outlineLevel="0" collapsed="false">
      <c r="A121" s="10" t="str">
        <f aca="false">IF(D121="","","E-"&amp;TEXT(ROW()-3,"0000"))</f>
        <v/>
      </c>
      <c r="B121" s="11"/>
      <c r="C121" s="12"/>
      <c r="D121" s="13"/>
      <c r="E121" s="14"/>
      <c r="F121" s="12"/>
      <c r="G121" s="12"/>
      <c r="H121" s="15"/>
      <c r="I121" s="16"/>
      <c r="J121" s="17" t="str">
        <f aca="false">IF(D121="","",HYPERLINK(Settings!$B$7&amp;A121&amp;".pdf","Open "&amp;A121&amp;".pdf"))</f>
        <v/>
      </c>
      <c r="K121" s="16"/>
      <c r="L121" s="12"/>
      <c r="M121" s="12"/>
      <c r="N121" s="15"/>
      <c r="O121" s="15"/>
      <c r="P121" s="12"/>
      <c r="Q121" s="15"/>
      <c r="R121" s="15"/>
      <c r="S121" s="15" t="str">
        <f aca="false">IF(D121="","",IF(AND(O121="Yes",OR(Q121&lt;&gt;"Yes",R121="Yes")),"Complete","Open"))</f>
        <v/>
      </c>
      <c r="T121" s="18" t="str">
        <f aca="false">IF(AND(Q121="Yes",R121&lt;&gt;"Yes"),HYPERLINK("mailto:"&amp;Settings!$B$5&amp;"?subject="&amp;SUBSTITUTE(SUBSTITUTE(SUBSTITUTE(SUBSTITUTE(SUBSTITUTE("Parts quote required - "&amp;D121&amp;" "&amp;E121,"%","%25"),"&amp;","%26")," ","%20"),"#","%23"),CHAR(10),"%0A")&amp;"&amp;body="&amp;SUBSTITUTE(SUBSTITUTE(SUBSTITUTE(SUBSTITUTE(SUBSTITUTE("Ref: "&amp;A121&amp;CHAR(10)&amp;"Customer: "&amp;D121&amp;"  "&amp;E121&amp;CHAR(10)&amp;"Phone: "&amp;F121&amp;CHAR(10)&amp;"Email: "&amp;G121&amp;CHAR(10)&amp;"Prefers: "&amp;H121&amp;CHAR(10)&amp;"Enquiry: "&amp;LEFT(I121,600)&amp;CHAR(10)&amp;CHAR(10)&amp;"Sent from the Preston Mazda enquiry log.","%","%25"),"&amp;","%26")," ","%20"),"#","%23"),CHAR(10),"%0A"),"✉ Email parts"),"")</f>
        <v/>
      </c>
      <c r="U121" s="18" t="str">
        <f aca="false">IF(AND(N121="Yes",O121&lt;&gt;"Yes"),HYPERLINK("mailto:"&amp;Settings!$B$6&amp;"?subject="&amp;SUBSTITUTE(SUBSTITUTE(SUBSTITUTE(SUBSTITUTE(SUBSTITUTE("Customer contact required - "&amp;D121&amp;" "&amp;E121,"%","%25"),"&amp;","%26")," ","%20"),"#","%23"),CHAR(10),"%0A")&amp;"&amp;body="&amp;SUBSTITUTE(SUBSTITUTE(SUBSTITUTE(SUBSTITUTE(SUBSTITUTE("Ref: "&amp;A121&amp;CHAR(10)&amp;"Customer: "&amp;D121&amp;"  "&amp;E121&amp;CHAR(10)&amp;"Phone: "&amp;F121&amp;CHAR(10)&amp;"Email: "&amp;G121&amp;CHAR(10)&amp;"Prefers: "&amp;H121&amp;CHAR(10)&amp;"Enquiry: "&amp;LEFT(I121,600)&amp;CHAR(10)&amp;CHAR(10)&amp;"Sent from the Preston Mazda enquiry log.","%","%25"),"&amp;","%26")," ","%20"),"#","%23"),CHAR(10),"%0A"),"✉ Email advisors"),"")</f>
        <v/>
      </c>
      <c r="V121" s="18" t="str">
        <f aca="false">IF(OR(M121="",IFERROR(INDEX(Staff!$B$4:$B$33,MATCH(M121,Staff!$A$4:$A$33,0)),"")=""),"",HYPERLINK("mailto:"&amp;IFERROR(INDEX(Staff!$B$4:$B$33,MATCH(M121,Staff!$A$4:$A$33,0)),"")&amp;"?subject="&amp;SUBSTITUTE(SUBSTITUTE(SUBSTITUTE(SUBSTITUTE(SUBSTITUTE("Enquiry "&amp;A121&amp;" allocated to you - "&amp;D121,"%","%25"),"&amp;","%26")," ","%20"),"#","%23"),CHAR(10),"%0A")&amp;"&amp;body="&amp;SUBSTITUTE(SUBSTITUTE(SUBSTITUTE(SUBSTITUTE(SUBSTITUTE("Ref: "&amp;A121&amp;CHAR(10)&amp;"Customer: "&amp;D121&amp;"  "&amp;E121&amp;CHAR(10)&amp;"Phone: "&amp;F121&amp;CHAR(10)&amp;"Email: "&amp;G121&amp;CHAR(10)&amp;"Prefers: "&amp;H121&amp;CHAR(10)&amp;"Enquiry: "&amp;LEFT(I121,600)&amp;CHAR(10)&amp;CHAR(10)&amp;"Sent from the Preston Mazda enquiry log.","%","%25"),"&amp;","%26")," ","%20"),"#","%23"),CHAR(10),"%0A"),"✉ Email "&amp;M121))</f>
        <v/>
      </c>
      <c r="W121" s="18" t="str">
        <f aca="false">IF(OR(P121="",IFERROR(INDEX(Staff!$E$4:$E$33,MATCH(P121,Staff!$D$4:$D$33,0)),"")=""),"",HYPERLINK("mailto:"&amp;IFERROR(INDEX(Staff!$E$4:$E$33,MATCH(P121,Staff!$D$4:$D$33,0)),"")&amp;"?subject="&amp;SUBSTITUTE(SUBSTITUTE(SUBSTITUTE(SUBSTITUTE(SUBSTITUTE("Parts quote "&amp;A121&amp;" allocated to you - "&amp;D121,"%","%25"),"&amp;","%26")," ","%20"),"#","%23"),CHAR(10),"%0A")&amp;"&amp;body="&amp;SUBSTITUTE(SUBSTITUTE(SUBSTITUTE(SUBSTITUTE(SUBSTITUTE("Ref: "&amp;A121&amp;CHAR(10)&amp;"Customer: "&amp;D121&amp;"  "&amp;E121&amp;CHAR(10)&amp;"Phone: "&amp;F121&amp;CHAR(10)&amp;"Email: "&amp;G121&amp;CHAR(10)&amp;"Prefers: "&amp;H121&amp;CHAR(10)&amp;"Enquiry: "&amp;LEFT(I121,600)&amp;CHAR(10)&amp;CHAR(10)&amp;"Sent from the Preston Mazda enquiry log.","%","%25"),"&amp;","%26")," ","%20"),"#","%23"),CHAR(10),"%0A"),"✉ Email "&amp;P121))</f>
        <v/>
      </c>
    </row>
    <row r="122" customFormat="false" ht="15" hidden="false" customHeight="false" outlineLevel="0" collapsed="false">
      <c r="A122" s="10" t="str">
        <f aca="false">IF(D122="","","E-"&amp;TEXT(ROW()-3,"0000"))</f>
        <v/>
      </c>
      <c r="B122" s="11"/>
      <c r="C122" s="12"/>
      <c r="D122" s="13"/>
      <c r="E122" s="14"/>
      <c r="F122" s="12"/>
      <c r="G122" s="12"/>
      <c r="H122" s="15"/>
      <c r="I122" s="16"/>
      <c r="J122" s="17" t="str">
        <f aca="false">IF(D122="","",HYPERLINK(Settings!$B$7&amp;A122&amp;".pdf","Open "&amp;A122&amp;".pdf"))</f>
        <v/>
      </c>
      <c r="K122" s="16"/>
      <c r="L122" s="12"/>
      <c r="M122" s="12"/>
      <c r="N122" s="15"/>
      <c r="O122" s="15"/>
      <c r="P122" s="12"/>
      <c r="Q122" s="15"/>
      <c r="R122" s="15"/>
      <c r="S122" s="15" t="str">
        <f aca="false">IF(D122="","",IF(AND(O122="Yes",OR(Q122&lt;&gt;"Yes",R122="Yes")),"Complete","Open"))</f>
        <v/>
      </c>
      <c r="T122" s="18" t="str">
        <f aca="false">IF(AND(Q122="Yes",R122&lt;&gt;"Yes"),HYPERLINK("mailto:"&amp;Settings!$B$5&amp;"?subject="&amp;SUBSTITUTE(SUBSTITUTE(SUBSTITUTE(SUBSTITUTE(SUBSTITUTE("Parts quote required - "&amp;D122&amp;" "&amp;E122,"%","%25"),"&amp;","%26")," ","%20"),"#","%23"),CHAR(10),"%0A")&amp;"&amp;body="&amp;SUBSTITUTE(SUBSTITUTE(SUBSTITUTE(SUBSTITUTE(SUBSTITUTE("Ref: "&amp;A122&amp;CHAR(10)&amp;"Customer: "&amp;D122&amp;"  "&amp;E122&amp;CHAR(10)&amp;"Phone: "&amp;F122&amp;CHAR(10)&amp;"Email: "&amp;G122&amp;CHAR(10)&amp;"Prefers: "&amp;H122&amp;CHAR(10)&amp;"Enquiry: "&amp;LEFT(I122,600)&amp;CHAR(10)&amp;CHAR(10)&amp;"Sent from the Preston Mazda enquiry log.","%","%25"),"&amp;","%26")," ","%20"),"#","%23"),CHAR(10),"%0A"),"✉ Email parts"),"")</f>
        <v/>
      </c>
      <c r="U122" s="18" t="str">
        <f aca="false">IF(AND(N122="Yes",O122&lt;&gt;"Yes"),HYPERLINK("mailto:"&amp;Settings!$B$6&amp;"?subject="&amp;SUBSTITUTE(SUBSTITUTE(SUBSTITUTE(SUBSTITUTE(SUBSTITUTE("Customer contact required - "&amp;D122&amp;" "&amp;E122,"%","%25"),"&amp;","%26")," ","%20"),"#","%23"),CHAR(10),"%0A")&amp;"&amp;body="&amp;SUBSTITUTE(SUBSTITUTE(SUBSTITUTE(SUBSTITUTE(SUBSTITUTE("Ref: "&amp;A122&amp;CHAR(10)&amp;"Customer: "&amp;D122&amp;"  "&amp;E122&amp;CHAR(10)&amp;"Phone: "&amp;F122&amp;CHAR(10)&amp;"Email: "&amp;G122&amp;CHAR(10)&amp;"Prefers: "&amp;H122&amp;CHAR(10)&amp;"Enquiry: "&amp;LEFT(I122,600)&amp;CHAR(10)&amp;CHAR(10)&amp;"Sent from the Preston Mazda enquiry log.","%","%25"),"&amp;","%26")," ","%20"),"#","%23"),CHAR(10),"%0A"),"✉ Email advisors"),"")</f>
        <v/>
      </c>
      <c r="V122" s="18" t="str">
        <f aca="false">IF(OR(M122="",IFERROR(INDEX(Staff!$B$4:$B$33,MATCH(M122,Staff!$A$4:$A$33,0)),"")=""),"",HYPERLINK("mailto:"&amp;IFERROR(INDEX(Staff!$B$4:$B$33,MATCH(M122,Staff!$A$4:$A$33,0)),"")&amp;"?subject="&amp;SUBSTITUTE(SUBSTITUTE(SUBSTITUTE(SUBSTITUTE(SUBSTITUTE("Enquiry "&amp;A122&amp;" allocated to you - "&amp;D122,"%","%25"),"&amp;","%26")," ","%20"),"#","%23"),CHAR(10),"%0A")&amp;"&amp;body="&amp;SUBSTITUTE(SUBSTITUTE(SUBSTITUTE(SUBSTITUTE(SUBSTITUTE("Ref: "&amp;A122&amp;CHAR(10)&amp;"Customer: "&amp;D122&amp;"  "&amp;E122&amp;CHAR(10)&amp;"Phone: "&amp;F122&amp;CHAR(10)&amp;"Email: "&amp;G122&amp;CHAR(10)&amp;"Prefers: "&amp;H122&amp;CHAR(10)&amp;"Enquiry: "&amp;LEFT(I122,600)&amp;CHAR(10)&amp;CHAR(10)&amp;"Sent from the Preston Mazda enquiry log.","%","%25"),"&amp;","%26")," ","%20"),"#","%23"),CHAR(10),"%0A"),"✉ Email "&amp;M122))</f>
        <v/>
      </c>
      <c r="W122" s="18" t="str">
        <f aca="false">IF(OR(P122="",IFERROR(INDEX(Staff!$E$4:$E$33,MATCH(P122,Staff!$D$4:$D$33,0)),"")=""),"",HYPERLINK("mailto:"&amp;IFERROR(INDEX(Staff!$E$4:$E$33,MATCH(P122,Staff!$D$4:$D$33,0)),"")&amp;"?subject="&amp;SUBSTITUTE(SUBSTITUTE(SUBSTITUTE(SUBSTITUTE(SUBSTITUTE("Parts quote "&amp;A122&amp;" allocated to you - "&amp;D122,"%","%25"),"&amp;","%26")," ","%20"),"#","%23"),CHAR(10),"%0A")&amp;"&amp;body="&amp;SUBSTITUTE(SUBSTITUTE(SUBSTITUTE(SUBSTITUTE(SUBSTITUTE("Ref: "&amp;A122&amp;CHAR(10)&amp;"Customer: "&amp;D122&amp;"  "&amp;E122&amp;CHAR(10)&amp;"Phone: "&amp;F122&amp;CHAR(10)&amp;"Email: "&amp;G122&amp;CHAR(10)&amp;"Prefers: "&amp;H122&amp;CHAR(10)&amp;"Enquiry: "&amp;LEFT(I122,600)&amp;CHAR(10)&amp;CHAR(10)&amp;"Sent from the Preston Mazda enquiry log.","%","%25"),"&amp;","%26")," ","%20"),"#","%23"),CHAR(10),"%0A"),"✉ Email "&amp;P122))</f>
        <v/>
      </c>
    </row>
    <row r="123" customFormat="false" ht="15" hidden="false" customHeight="false" outlineLevel="0" collapsed="false">
      <c r="A123" s="10" t="str">
        <f aca="false">IF(D123="","","E-"&amp;TEXT(ROW()-3,"0000"))</f>
        <v/>
      </c>
      <c r="B123" s="11"/>
      <c r="C123" s="12"/>
      <c r="D123" s="13"/>
      <c r="E123" s="14"/>
      <c r="F123" s="12"/>
      <c r="G123" s="12"/>
      <c r="H123" s="15"/>
      <c r="I123" s="16"/>
      <c r="J123" s="17" t="str">
        <f aca="false">IF(D123="","",HYPERLINK(Settings!$B$7&amp;A123&amp;".pdf","Open "&amp;A123&amp;".pdf"))</f>
        <v/>
      </c>
      <c r="K123" s="16"/>
      <c r="L123" s="12"/>
      <c r="M123" s="12"/>
      <c r="N123" s="15"/>
      <c r="O123" s="15"/>
      <c r="P123" s="12"/>
      <c r="Q123" s="15"/>
      <c r="R123" s="15"/>
      <c r="S123" s="15" t="str">
        <f aca="false">IF(D123="","",IF(AND(O123="Yes",OR(Q123&lt;&gt;"Yes",R123="Yes")),"Complete","Open"))</f>
        <v/>
      </c>
      <c r="T123" s="18" t="str">
        <f aca="false">IF(AND(Q123="Yes",R123&lt;&gt;"Yes"),HYPERLINK("mailto:"&amp;Settings!$B$5&amp;"?subject="&amp;SUBSTITUTE(SUBSTITUTE(SUBSTITUTE(SUBSTITUTE(SUBSTITUTE("Parts quote required - "&amp;D123&amp;" "&amp;E123,"%","%25"),"&amp;","%26")," ","%20"),"#","%23"),CHAR(10),"%0A")&amp;"&amp;body="&amp;SUBSTITUTE(SUBSTITUTE(SUBSTITUTE(SUBSTITUTE(SUBSTITUTE("Ref: "&amp;A123&amp;CHAR(10)&amp;"Customer: "&amp;D123&amp;"  "&amp;E123&amp;CHAR(10)&amp;"Phone: "&amp;F123&amp;CHAR(10)&amp;"Email: "&amp;G123&amp;CHAR(10)&amp;"Prefers: "&amp;H123&amp;CHAR(10)&amp;"Enquiry: "&amp;LEFT(I123,600)&amp;CHAR(10)&amp;CHAR(10)&amp;"Sent from the Preston Mazda enquiry log.","%","%25"),"&amp;","%26")," ","%20"),"#","%23"),CHAR(10),"%0A"),"✉ Email parts"),"")</f>
        <v/>
      </c>
      <c r="U123" s="18" t="str">
        <f aca="false">IF(AND(N123="Yes",O123&lt;&gt;"Yes"),HYPERLINK("mailto:"&amp;Settings!$B$6&amp;"?subject="&amp;SUBSTITUTE(SUBSTITUTE(SUBSTITUTE(SUBSTITUTE(SUBSTITUTE("Customer contact required - "&amp;D123&amp;" "&amp;E123,"%","%25"),"&amp;","%26")," ","%20"),"#","%23"),CHAR(10),"%0A")&amp;"&amp;body="&amp;SUBSTITUTE(SUBSTITUTE(SUBSTITUTE(SUBSTITUTE(SUBSTITUTE("Ref: "&amp;A123&amp;CHAR(10)&amp;"Customer: "&amp;D123&amp;"  "&amp;E123&amp;CHAR(10)&amp;"Phone: "&amp;F123&amp;CHAR(10)&amp;"Email: "&amp;G123&amp;CHAR(10)&amp;"Prefers: "&amp;H123&amp;CHAR(10)&amp;"Enquiry: "&amp;LEFT(I123,600)&amp;CHAR(10)&amp;CHAR(10)&amp;"Sent from the Preston Mazda enquiry log.","%","%25"),"&amp;","%26")," ","%20"),"#","%23"),CHAR(10),"%0A"),"✉ Email advisors"),"")</f>
        <v/>
      </c>
      <c r="V123" s="18" t="str">
        <f aca="false">IF(OR(M123="",IFERROR(INDEX(Staff!$B$4:$B$33,MATCH(M123,Staff!$A$4:$A$33,0)),"")=""),"",HYPERLINK("mailto:"&amp;IFERROR(INDEX(Staff!$B$4:$B$33,MATCH(M123,Staff!$A$4:$A$33,0)),"")&amp;"?subject="&amp;SUBSTITUTE(SUBSTITUTE(SUBSTITUTE(SUBSTITUTE(SUBSTITUTE("Enquiry "&amp;A123&amp;" allocated to you - "&amp;D123,"%","%25"),"&amp;","%26")," ","%20"),"#","%23"),CHAR(10),"%0A")&amp;"&amp;body="&amp;SUBSTITUTE(SUBSTITUTE(SUBSTITUTE(SUBSTITUTE(SUBSTITUTE("Ref: "&amp;A123&amp;CHAR(10)&amp;"Customer: "&amp;D123&amp;"  "&amp;E123&amp;CHAR(10)&amp;"Phone: "&amp;F123&amp;CHAR(10)&amp;"Email: "&amp;G123&amp;CHAR(10)&amp;"Prefers: "&amp;H123&amp;CHAR(10)&amp;"Enquiry: "&amp;LEFT(I123,600)&amp;CHAR(10)&amp;CHAR(10)&amp;"Sent from the Preston Mazda enquiry log.","%","%25"),"&amp;","%26")," ","%20"),"#","%23"),CHAR(10),"%0A"),"✉ Email "&amp;M123))</f>
        <v/>
      </c>
      <c r="W123" s="18" t="str">
        <f aca="false">IF(OR(P123="",IFERROR(INDEX(Staff!$E$4:$E$33,MATCH(P123,Staff!$D$4:$D$33,0)),"")=""),"",HYPERLINK("mailto:"&amp;IFERROR(INDEX(Staff!$E$4:$E$33,MATCH(P123,Staff!$D$4:$D$33,0)),"")&amp;"?subject="&amp;SUBSTITUTE(SUBSTITUTE(SUBSTITUTE(SUBSTITUTE(SUBSTITUTE("Parts quote "&amp;A123&amp;" allocated to you - "&amp;D123,"%","%25"),"&amp;","%26")," ","%20"),"#","%23"),CHAR(10),"%0A")&amp;"&amp;body="&amp;SUBSTITUTE(SUBSTITUTE(SUBSTITUTE(SUBSTITUTE(SUBSTITUTE("Ref: "&amp;A123&amp;CHAR(10)&amp;"Customer: "&amp;D123&amp;"  "&amp;E123&amp;CHAR(10)&amp;"Phone: "&amp;F123&amp;CHAR(10)&amp;"Email: "&amp;G123&amp;CHAR(10)&amp;"Prefers: "&amp;H123&amp;CHAR(10)&amp;"Enquiry: "&amp;LEFT(I123,600)&amp;CHAR(10)&amp;CHAR(10)&amp;"Sent from the Preston Mazda enquiry log.","%","%25"),"&amp;","%26")," ","%20"),"#","%23"),CHAR(10),"%0A"),"✉ Email "&amp;P123))</f>
        <v/>
      </c>
    </row>
    <row r="124" customFormat="false" ht="15" hidden="false" customHeight="false" outlineLevel="0" collapsed="false">
      <c r="A124" s="10" t="str">
        <f aca="false">IF(D124="","","E-"&amp;TEXT(ROW()-3,"0000"))</f>
        <v/>
      </c>
      <c r="B124" s="11"/>
      <c r="C124" s="12"/>
      <c r="D124" s="13"/>
      <c r="E124" s="14"/>
      <c r="F124" s="12"/>
      <c r="G124" s="12"/>
      <c r="H124" s="15"/>
      <c r="I124" s="16"/>
      <c r="J124" s="17" t="str">
        <f aca="false">IF(D124="","",HYPERLINK(Settings!$B$7&amp;A124&amp;".pdf","Open "&amp;A124&amp;".pdf"))</f>
        <v/>
      </c>
      <c r="K124" s="16"/>
      <c r="L124" s="12"/>
      <c r="M124" s="12"/>
      <c r="N124" s="15"/>
      <c r="O124" s="15"/>
      <c r="P124" s="12"/>
      <c r="Q124" s="15"/>
      <c r="R124" s="15"/>
      <c r="S124" s="15" t="str">
        <f aca="false">IF(D124="","",IF(AND(O124="Yes",OR(Q124&lt;&gt;"Yes",R124="Yes")),"Complete","Open"))</f>
        <v/>
      </c>
      <c r="T124" s="18" t="str">
        <f aca="false">IF(AND(Q124="Yes",R124&lt;&gt;"Yes"),HYPERLINK("mailto:"&amp;Settings!$B$5&amp;"?subject="&amp;SUBSTITUTE(SUBSTITUTE(SUBSTITUTE(SUBSTITUTE(SUBSTITUTE("Parts quote required - "&amp;D124&amp;" "&amp;E124,"%","%25"),"&amp;","%26")," ","%20"),"#","%23"),CHAR(10),"%0A")&amp;"&amp;body="&amp;SUBSTITUTE(SUBSTITUTE(SUBSTITUTE(SUBSTITUTE(SUBSTITUTE("Ref: "&amp;A124&amp;CHAR(10)&amp;"Customer: "&amp;D124&amp;"  "&amp;E124&amp;CHAR(10)&amp;"Phone: "&amp;F124&amp;CHAR(10)&amp;"Email: "&amp;G124&amp;CHAR(10)&amp;"Prefers: "&amp;H124&amp;CHAR(10)&amp;"Enquiry: "&amp;LEFT(I124,600)&amp;CHAR(10)&amp;CHAR(10)&amp;"Sent from the Preston Mazda enquiry log.","%","%25"),"&amp;","%26")," ","%20"),"#","%23"),CHAR(10),"%0A"),"✉ Email parts"),"")</f>
        <v/>
      </c>
      <c r="U124" s="18" t="str">
        <f aca="false">IF(AND(N124="Yes",O124&lt;&gt;"Yes"),HYPERLINK("mailto:"&amp;Settings!$B$6&amp;"?subject="&amp;SUBSTITUTE(SUBSTITUTE(SUBSTITUTE(SUBSTITUTE(SUBSTITUTE("Customer contact required - "&amp;D124&amp;" "&amp;E124,"%","%25"),"&amp;","%26")," ","%20"),"#","%23"),CHAR(10),"%0A")&amp;"&amp;body="&amp;SUBSTITUTE(SUBSTITUTE(SUBSTITUTE(SUBSTITUTE(SUBSTITUTE("Ref: "&amp;A124&amp;CHAR(10)&amp;"Customer: "&amp;D124&amp;"  "&amp;E124&amp;CHAR(10)&amp;"Phone: "&amp;F124&amp;CHAR(10)&amp;"Email: "&amp;G124&amp;CHAR(10)&amp;"Prefers: "&amp;H124&amp;CHAR(10)&amp;"Enquiry: "&amp;LEFT(I124,600)&amp;CHAR(10)&amp;CHAR(10)&amp;"Sent from the Preston Mazda enquiry log.","%","%25"),"&amp;","%26")," ","%20"),"#","%23"),CHAR(10),"%0A"),"✉ Email advisors"),"")</f>
        <v/>
      </c>
      <c r="V124" s="18" t="str">
        <f aca="false">IF(OR(M124="",IFERROR(INDEX(Staff!$B$4:$B$33,MATCH(M124,Staff!$A$4:$A$33,0)),"")=""),"",HYPERLINK("mailto:"&amp;IFERROR(INDEX(Staff!$B$4:$B$33,MATCH(M124,Staff!$A$4:$A$33,0)),"")&amp;"?subject="&amp;SUBSTITUTE(SUBSTITUTE(SUBSTITUTE(SUBSTITUTE(SUBSTITUTE("Enquiry "&amp;A124&amp;" allocated to you - "&amp;D124,"%","%25"),"&amp;","%26")," ","%20"),"#","%23"),CHAR(10),"%0A")&amp;"&amp;body="&amp;SUBSTITUTE(SUBSTITUTE(SUBSTITUTE(SUBSTITUTE(SUBSTITUTE("Ref: "&amp;A124&amp;CHAR(10)&amp;"Customer: "&amp;D124&amp;"  "&amp;E124&amp;CHAR(10)&amp;"Phone: "&amp;F124&amp;CHAR(10)&amp;"Email: "&amp;G124&amp;CHAR(10)&amp;"Prefers: "&amp;H124&amp;CHAR(10)&amp;"Enquiry: "&amp;LEFT(I124,600)&amp;CHAR(10)&amp;CHAR(10)&amp;"Sent from the Preston Mazda enquiry log.","%","%25"),"&amp;","%26")," ","%20"),"#","%23"),CHAR(10),"%0A"),"✉ Email "&amp;M124))</f>
        <v/>
      </c>
      <c r="W124" s="18" t="str">
        <f aca="false">IF(OR(P124="",IFERROR(INDEX(Staff!$E$4:$E$33,MATCH(P124,Staff!$D$4:$D$33,0)),"")=""),"",HYPERLINK("mailto:"&amp;IFERROR(INDEX(Staff!$E$4:$E$33,MATCH(P124,Staff!$D$4:$D$33,0)),"")&amp;"?subject="&amp;SUBSTITUTE(SUBSTITUTE(SUBSTITUTE(SUBSTITUTE(SUBSTITUTE("Parts quote "&amp;A124&amp;" allocated to you - "&amp;D124,"%","%25"),"&amp;","%26")," ","%20"),"#","%23"),CHAR(10),"%0A")&amp;"&amp;body="&amp;SUBSTITUTE(SUBSTITUTE(SUBSTITUTE(SUBSTITUTE(SUBSTITUTE("Ref: "&amp;A124&amp;CHAR(10)&amp;"Customer: "&amp;D124&amp;"  "&amp;E124&amp;CHAR(10)&amp;"Phone: "&amp;F124&amp;CHAR(10)&amp;"Email: "&amp;G124&amp;CHAR(10)&amp;"Prefers: "&amp;H124&amp;CHAR(10)&amp;"Enquiry: "&amp;LEFT(I124,600)&amp;CHAR(10)&amp;CHAR(10)&amp;"Sent from the Preston Mazda enquiry log.","%","%25"),"&amp;","%26")," ","%20"),"#","%23"),CHAR(10),"%0A"),"✉ Email "&amp;P124))</f>
        <v/>
      </c>
    </row>
    <row r="125" customFormat="false" ht="15" hidden="false" customHeight="false" outlineLevel="0" collapsed="false">
      <c r="A125" s="10" t="str">
        <f aca="false">IF(D125="","","E-"&amp;TEXT(ROW()-3,"0000"))</f>
        <v/>
      </c>
      <c r="B125" s="11"/>
      <c r="C125" s="12"/>
      <c r="D125" s="13"/>
      <c r="E125" s="14"/>
      <c r="F125" s="12"/>
      <c r="G125" s="12"/>
      <c r="H125" s="15"/>
      <c r="I125" s="16"/>
      <c r="J125" s="17" t="str">
        <f aca="false">IF(D125="","",HYPERLINK(Settings!$B$7&amp;A125&amp;".pdf","Open "&amp;A125&amp;".pdf"))</f>
        <v/>
      </c>
      <c r="K125" s="16"/>
      <c r="L125" s="12"/>
      <c r="M125" s="12"/>
      <c r="N125" s="15"/>
      <c r="O125" s="15"/>
      <c r="P125" s="12"/>
      <c r="Q125" s="15"/>
      <c r="R125" s="15"/>
      <c r="S125" s="15" t="str">
        <f aca="false">IF(D125="","",IF(AND(O125="Yes",OR(Q125&lt;&gt;"Yes",R125="Yes")),"Complete","Open"))</f>
        <v/>
      </c>
      <c r="T125" s="18" t="str">
        <f aca="false">IF(AND(Q125="Yes",R125&lt;&gt;"Yes"),HYPERLINK("mailto:"&amp;Settings!$B$5&amp;"?subject="&amp;SUBSTITUTE(SUBSTITUTE(SUBSTITUTE(SUBSTITUTE(SUBSTITUTE("Parts quote required - "&amp;D125&amp;" "&amp;E125,"%","%25"),"&amp;","%26")," ","%20"),"#","%23"),CHAR(10),"%0A")&amp;"&amp;body="&amp;SUBSTITUTE(SUBSTITUTE(SUBSTITUTE(SUBSTITUTE(SUBSTITUTE("Ref: "&amp;A125&amp;CHAR(10)&amp;"Customer: "&amp;D125&amp;"  "&amp;E125&amp;CHAR(10)&amp;"Phone: "&amp;F125&amp;CHAR(10)&amp;"Email: "&amp;G125&amp;CHAR(10)&amp;"Prefers: "&amp;H125&amp;CHAR(10)&amp;"Enquiry: "&amp;LEFT(I125,600)&amp;CHAR(10)&amp;CHAR(10)&amp;"Sent from the Preston Mazda enquiry log.","%","%25"),"&amp;","%26")," ","%20"),"#","%23"),CHAR(10),"%0A"),"✉ Email parts"),"")</f>
        <v/>
      </c>
      <c r="U125" s="18" t="str">
        <f aca="false">IF(AND(N125="Yes",O125&lt;&gt;"Yes"),HYPERLINK("mailto:"&amp;Settings!$B$6&amp;"?subject="&amp;SUBSTITUTE(SUBSTITUTE(SUBSTITUTE(SUBSTITUTE(SUBSTITUTE("Customer contact required - "&amp;D125&amp;" "&amp;E125,"%","%25"),"&amp;","%26")," ","%20"),"#","%23"),CHAR(10),"%0A")&amp;"&amp;body="&amp;SUBSTITUTE(SUBSTITUTE(SUBSTITUTE(SUBSTITUTE(SUBSTITUTE("Ref: "&amp;A125&amp;CHAR(10)&amp;"Customer: "&amp;D125&amp;"  "&amp;E125&amp;CHAR(10)&amp;"Phone: "&amp;F125&amp;CHAR(10)&amp;"Email: "&amp;G125&amp;CHAR(10)&amp;"Prefers: "&amp;H125&amp;CHAR(10)&amp;"Enquiry: "&amp;LEFT(I125,600)&amp;CHAR(10)&amp;CHAR(10)&amp;"Sent from the Preston Mazda enquiry log.","%","%25"),"&amp;","%26")," ","%20"),"#","%23"),CHAR(10),"%0A"),"✉ Email advisors"),"")</f>
        <v/>
      </c>
      <c r="V125" s="18" t="str">
        <f aca="false">IF(OR(M125="",IFERROR(INDEX(Staff!$B$4:$B$33,MATCH(M125,Staff!$A$4:$A$33,0)),"")=""),"",HYPERLINK("mailto:"&amp;IFERROR(INDEX(Staff!$B$4:$B$33,MATCH(M125,Staff!$A$4:$A$33,0)),"")&amp;"?subject="&amp;SUBSTITUTE(SUBSTITUTE(SUBSTITUTE(SUBSTITUTE(SUBSTITUTE("Enquiry "&amp;A125&amp;" allocated to you - "&amp;D125,"%","%25"),"&amp;","%26")," ","%20"),"#","%23"),CHAR(10),"%0A")&amp;"&amp;body="&amp;SUBSTITUTE(SUBSTITUTE(SUBSTITUTE(SUBSTITUTE(SUBSTITUTE("Ref: "&amp;A125&amp;CHAR(10)&amp;"Customer: "&amp;D125&amp;"  "&amp;E125&amp;CHAR(10)&amp;"Phone: "&amp;F125&amp;CHAR(10)&amp;"Email: "&amp;G125&amp;CHAR(10)&amp;"Prefers: "&amp;H125&amp;CHAR(10)&amp;"Enquiry: "&amp;LEFT(I125,600)&amp;CHAR(10)&amp;CHAR(10)&amp;"Sent from the Preston Mazda enquiry log.","%","%25"),"&amp;","%26")," ","%20"),"#","%23"),CHAR(10),"%0A"),"✉ Email "&amp;M125))</f>
        <v/>
      </c>
      <c r="W125" s="18" t="str">
        <f aca="false">IF(OR(P125="",IFERROR(INDEX(Staff!$E$4:$E$33,MATCH(P125,Staff!$D$4:$D$33,0)),"")=""),"",HYPERLINK("mailto:"&amp;IFERROR(INDEX(Staff!$E$4:$E$33,MATCH(P125,Staff!$D$4:$D$33,0)),"")&amp;"?subject="&amp;SUBSTITUTE(SUBSTITUTE(SUBSTITUTE(SUBSTITUTE(SUBSTITUTE("Parts quote "&amp;A125&amp;" allocated to you - "&amp;D125,"%","%25"),"&amp;","%26")," ","%20"),"#","%23"),CHAR(10),"%0A")&amp;"&amp;body="&amp;SUBSTITUTE(SUBSTITUTE(SUBSTITUTE(SUBSTITUTE(SUBSTITUTE("Ref: "&amp;A125&amp;CHAR(10)&amp;"Customer: "&amp;D125&amp;"  "&amp;E125&amp;CHAR(10)&amp;"Phone: "&amp;F125&amp;CHAR(10)&amp;"Email: "&amp;G125&amp;CHAR(10)&amp;"Prefers: "&amp;H125&amp;CHAR(10)&amp;"Enquiry: "&amp;LEFT(I125,600)&amp;CHAR(10)&amp;CHAR(10)&amp;"Sent from the Preston Mazda enquiry log.","%","%25"),"&amp;","%26")," ","%20"),"#","%23"),CHAR(10),"%0A"),"✉ Email "&amp;P125))</f>
        <v/>
      </c>
    </row>
    <row r="126" customFormat="false" ht="15" hidden="false" customHeight="false" outlineLevel="0" collapsed="false">
      <c r="A126" s="10" t="str">
        <f aca="false">IF(D126="","","E-"&amp;TEXT(ROW()-3,"0000"))</f>
        <v/>
      </c>
      <c r="B126" s="11"/>
      <c r="C126" s="12"/>
      <c r="D126" s="13"/>
      <c r="E126" s="14"/>
      <c r="F126" s="12"/>
      <c r="G126" s="12"/>
      <c r="H126" s="15"/>
      <c r="I126" s="16"/>
      <c r="J126" s="17" t="str">
        <f aca="false">IF(D126="","",HYPERLINK(Settings!$B$7&amp;A126&amp;".pdf","Open "&amp;A126&amp;".pdf"))</f>
        <v/>
      </c>
      <c r="K126" s="16"/>
      <c r="L126" s="12"/>
      <c r="M126" s="12"/>
      <c r="N126" s="15"/>
      <c r="O126" s="15"/>
      <c r="P126" s="12"/>
      <c r="Q126" s="15"/>
      <c r="R126" s="15"/>
      <c r="S126" s="15" t="str">
        <f aca="false">IF(D126="","",IF(AND(O126="Yes",OR(Q126&lt;&gt;"Yes",R126="Yes")),"Complete","Open"))</f>
        <v/>
      </c>
      <c r="T126" s="18" t="str">
        <f aca="false">IF(AND(Q126="Yes",R126&lt;&gt;"Yes"),HYPERLINK("mailto:"&amp;Settings!$B$5&amp;"?subject="&amp;SUBSTITUTE(SUBSTITUTE(SUBSTITUTE(SUBSTITUTE(SUBSTITUTE("Parts quote required - "&amp;D126&amp;" "&amp;E126,"%","%25"),"&amp;","%26")," ","%20"),"#","%23"),CHAR(10),"%0A")&amp;"&amp;body="&amp;SUBSTITUTE(SUBSTITUTE(SUBSTITUTE(SUBSTITUTE(SUBSTITUTE("Ref: "&amp;A126&amp;CHAR(10)&amp;"Customer: "&amp;D126&amp;"  "&amp;E126&amp;CHAR(10)&amp;"Phone: "&amp;F126&amp;CHAR(10)&amp;"Email: "&amp;G126&amp;CHAR(10)&amp;"Prefers: "&amp;H126&amp;CHAR(10)&amp;"Enquiry: "&amp;LEFT(I126,600)&amp;CHAR(10)&amp;CHAR(10)&amp;"Sent from the Preston Mazda enquiry log.","%","%25"),"&amp;","%26")," ","%20"),"#","%23"),CHAR(10),"%0A"),"✉ Email parts"),"")</f>
        <v/>
      </c>
      <c r="U126" s="18" t="str">
        <f aca="false">IF(AND(N126="Yes",O126&lt;&gt;"Yes"),HYPERLINK("mailto:"&amp;Settings!$B$6&amp;"?subject="&amp;SUBSTITUTE(SUBSTITUTE(SUBSTITUTE(SUBSTITUTE(SUBSTITUTE("Customer contact required - "&amp;D126&amp;" "&amp;E126,"%","%25"),"&amp;","%26")," ","%20"),"#","%23"),CHAR(10),"%0A")&amp;"&amp;body="&amp;SUBSTITUTE(SUBSTITUTE(SUBSTITUTE(SUBSTITUTE(SUBSTITUTE("Ref: "&amp;A126&amp;CHAR(10)&amp;"Customer: "&amp;D126&amp;"  "&amp;E126&amp;CHAR(10)&amp;"Phone: "&amp;F126&amp;CHAR(10)&amp;"Email: "&amp;G126&amp;CHAR(10)&amp;"Prefers: "&amp;H126&amp;CHAR(10)&amp;"Enquiry: "&amp;LEFT(I126,600)&amp;CHAR(10)&amp;CHAR(10)&amp;"Sent from the Preston Mazda enquiry log.","%","%25"),"&amp;","%26")," ","%20"),"#","%23"),CHAR(10),"%0A"),"✉ Email advisors"),"")</f>
        <v/>
      </c>
      <c r="V126" s="18" t="str">
        <f aca="false">IF(OR(M126="",IFERROR(INDEX(Staff!$B$4:$B$33,MATCH(M126,Staff!$A$4:$A$33,0)),"")=""),"",HYPERLINK("mailto:"&amp;IFERROR(INDEX(Staff!$B$4:$B$33,MATCH(M126,Staff!$A$4:$A$33,0)),"")&amp;"?subject="&amp;SUBSTITUTE(SUBSTITUTE(SUBSTITUTE(SUBSTITUTE(SUBSTITUTE("Enquiry "&amp;A126&amp;" allocated to you - "&amp;D126,"%","%25"),"&amp;","%26")," ","%20"),"#","%23"),CHAR(10),"%0A")&amp;"&amp;body="&amp;SUBSTITUTE(SUBSTITUTE(SUBSTITUTE(SUBSTITUTE(SUBSTITUTE("Ref: "&amp;A126&amp;CHAR(10)&amp;"Customer: "&amp;D126&amp;"  "&amp;E126&amp;CHAR(10)&amp;"Phone: "&amp;F126&amp;CHAR(10)&amp;"Email: "&amp;G126&amp;CHAR(10)&amp;"Prefers: "&amp;H126&amp;CHAR(10)&amp;"Enquiry: "&amp;LEFT(I126,600)&amp;CHAR(10)&amp;CHAR(10)&amp;"Sent from the Preston Mazda enquiry log.","%","%25"),"&amp;","%26")," ","%20"),"#","%23"),CHAR(10),"%0A"),"✉ Email "&amp;M126))</f>
        <v/>
      </c>
      <c r="W126" s="18" t="str">
        <f aca="false">IF(OR(P126="",IFERROR(INDEX(Staff!$E$4:$E$33,MATCH(P126,Staff!$D$4:$D$33,0)),"")=""),"",HYPERLINK("mailto:"&amp;IFERROR(INDEX(Staff!$E$4:$E$33,MATCH(P126,Staff!$D$4:$D$33,0)),"")&amp;"?subject="&amp;SUBSTITUTE(SUBSTITUTE(SUBSTITUTE(SUBSTITUTE(SUBSTITUTE("Parts quote "&amp;A126&amp;" allocated to you - "&amp;D126,"%","%25"),"&amp;","%26")," ","%20"),"#","%23"),CHAR(10),"%0A")&amp;"&amp;body="&amp;SUBSTITUTE(SUBSTITUTE(SUBSTITUTE(SUBSTITUTE(SUBSTITUTE("Ref: "&amp;A126&amp;CHAR(10)&amp;"Customer: "&amp;D126&amp;"  "&amp;E126&amp;CHAR(10)&amp;"Phone: "&amp;F126&amp;CHAR(10)&amp;"Email: "&amp;G126&amp;CHAR(10)&amp;"Prefers: "&amp;H126&amp;CHAR(10)&amp;"Enquiry: "&amp;LEFT(I126,600)&amp;CHAR(10)&amp;CHAR(10)&amp;"Sent from the Preston Mazda enquiry log.","%","%25"),"&amp;","%26")," ","%20"),"#","%23"),CHAR(10),"%0A"),"✉ Email "&amp;P126))</f>
        <v/>
      </c>
    </row>
    <row r="127" customFormat="false" ht="15" hidden="false" customHeight="false" outlineLevel="0" collapsed="false">
      <c r="A127" s="10" t="str">
        <f aca="false">IF(D127="","","E-"&amp;TEXT(ROW()-3,"0000"))</f>
        <v/>
      </c>
      <c r="B127" s="11"/>
      <c r="C127" s="12"/>
      <c r="D127" s="13"/>
      <c r="E127" s="14"/>
      <c r="F127" s="12"/>
      <c r="G127" s="12"/>
      <c r="H127" s="15"/>
      <c r="I127" s="16"/>
      <c r="J127" s="17" t="str">
        <f aca="false">IF(D127="","",HYPERLINK(Settings!$B$7&amp;A127&amp;".pdf","Open "&amp;A127&amp;".pdf"))</f>
        <v/>
      </c>
      <c r="K127" s="16"/>
      <c r="L127" s="12"/>
      <c r="M127" s="12"/>
      <c r="N127" s="15"/>
      <c r="O127" s="15"/>
      <c r="P127" s="12"/>
      <c r="Q127" s="15"/>
      <c r="R127" s="15"/>
      <c r="S127" s="15" t="str">
        <f aca="false">IF(D127="","",IF(AND(O127="Yes",OR(Q127&lt;&gt;"Yes",R127="Yes")),"Complete","Open"))</f>
        <v/>
      </c>
      <c r="T127" s="18" t="str">
        <f aca="false">IF(AND(Q127="Yes",R127&lt;&gt;"Yes"),HYPERLINK("mailto:"&amp;Settings!$B$5&amp;"?subject="&amp;SUBSTITUTE(SUBSTITUTE(SUBSTITUTE(SUBSTITUTE(SUBSTITUTE("Parts quote required - "&amp;D127&amp;" "&amp;E127,"%","%25"),"&amp;","%26")," ","%20"),"#","%23"),CHAR(10),"%0A")&amp;"&amp;body="&amp;SUBSTITUTE(SUBSTITUTE(SUBSTITUTE(SUBSTITUTE(SUBSTITUTE("Ref: "&amp;A127&amp;CHAR(10)&amp;"Customer: "&amp;D127&amp;"  "&amp;E127&amp;CHAR(10)&amp;"Phone: "&amp;F127&amp;CHAR(10)&amp;"Email: "&amp;G127&amp;CHAR(10)&amp;"Prefers: "&amp;H127&amp;CHAR(10)&amp;"Enquiry: "&amp;LEFT(I127,600)&amp;CHAR(10)&amp;CHAR(10)&amp;"Sent from the Preston Mazda enquiry log.","%","%25"),"&amp;","%26")," ","%20"),"#","%23"),CHAR(10),"%0A"),"✉ Email parts"),"")</f>
        <v/>
      </c>
      <c r="U127" s="18" t="str">
        <f aca="false">IF(AND(N127="Yes",O127&lt;&gt;"Yes"),HYPERLINK("mailto:"&amp;Settings!$B$6&amp;"?subject="&amp;SUBSTITUTE(SUBSTITUTE(SUBSTITUTE(SUBSTITUTE(SUBSTITUTE("Customer contact required - "&amp;D127&amp;" "&amp;E127,"%","%25"),"&amp;","%26")," ","%20"),"#","%23"),CHAR(10),"%0A")&amp;"&amp;body="&amp;SUBSTITUTE(SUBSTITUTE(SUBSTITUTE(SUBSTITUTE(SUBSTITUTE("Ref: "&amp;A127&amp;CHAR(10)&amp;"Customer: "&amp;D127&amp;"  "&amp;E127&amp;CHAR(10)&amp;"Phone: "&amp;F127&amp;CHAR(10)&amp;"Email: "&amp;G127&amp;CHAR(10)&amp;"Prefers: "&amp;H127&amp;CHAR(10)&amp;"Enquiry: "&amp;LEFT(I127,600)&amp;CHAR(10)&amp;CHAR(10)&amp;"Sent from the Preston Mazda enquiry log.","%","%25"),"&amp;","%26")," ","%20"),"#","%23"),CHAR(10),"%0A"),"✉ Email advisors"),"")</f>
        <v/>
      </c>
      <c r="V127" s="18" t="str">
        <f aca="false">IF(OR(M127="",IFERROR(INDEX(Staff!$B$4:$B$33,MATCH(M127,Staff!$A$4:$A$33,0)),"")=""),"",HYPERLINK("mailto:"&amp;IFERROR(INDEX(Staff!$B$4:$B$33,MATCH(M127,Staff!$A$4:$A$33,0)),"")&amp;"?subject="&amp;SUBSTITUTE(SUBSTITUTE(SUBSTITUTE(SUBSTITUTE(SUBSTITUTE("Enquiry "&amp;A127&amp;" allocated to you - "&amp;D127,"%","%25"),"&amp;","%26")," ","%20"),"#","%23"),CHAR(10),"%0A")&amp;"&amp;body="&amp;SUBSTITUTE(SUBSTITUTE(SUBSTITUTE(SUBSTITUTE(SUBSTITUTE("Ref: "&amp;A127&amp;CHAR(10)&amp;"Customer: "&amp;D127&amp;"  "&amp;E127&amp;CHAR(10)&amp;"Phone: "&amp;F127&amp;CHAR(10)&amp;"Email: "&amp;G127&amp;CHAR(10)&amp;"Prefers: "&amp;H127&amp;CHAR(10)&amp;"Enquiry: "&amp;LEFT(I127,600)&amp;CHAR(10)&amp;CHAR(10)&amp;"Sent from the Preston Mazda enquiry log.","%","%25"),"&amp;","%26")," ","%20"),"#","%23"),CHAR(10),"%0A"),"✉ Email "&amp;M127))</f>
        <v/>
      </c>
      <c r="W127" s="18" t="str">
        <f aca="false">IF(OR(P127="",IFERROR(INDEX(Staff!$E$4:$E$33,MATCH(P127,Staff!$D$4:$D$33,0)),"")=""),"",HYPERLINK("mailto:"&amp;IFERROR(INDEX(Staff!$E$4:$E$33,MATCH(P127,Staff!$D$4:$D$33,0)),"")&amp;"?subject="&amp;SUBSTITUTE(SUBSTITUTE(SUBSTITUTE(SUBSTITUTE(SUBSTITUTE("Parts quote "&amp;A127&amp;" allocated to you - "&amp;D127,"%","%25"),"&amp;","%26")," ","%20"),"#","%23"),CHAR(10),"%0A")&amp;"&amp;body="&amp;SUBSTITUTE(SUBSTITUTE(SUBSTITUTE(SUBSTITUTE(SUBSTITUTE("Ref: "&amp;A127&amp;CHAR(10)&amp;"Customer: "&amp;D127&amp;"  "&amp;E127&amp;CHAR(10)&amp;"Phone: "&amp;F127&amp;CHAR(10)&amp;"Email: "&amp;G127&amp;CHAR(10)&amp;"Prefers: "&amp;H127&amp;CHAR(10)&amp;"Enquiry: "&amp;LEFT(I127,600)&amp;CHAR(10)&amp;CHAR(10)&amp;"Sent from the Preston Mazda enquiry log.","%","%25"),"&amp;","%26")," ","%20"),"#","%23"),CHAR(10),"%0A"),"✉ Email "&amp;P127))</f>
        <v/>
      </c>
    </row>
    <row r="128" customFormat="false" ht="15" hidden="false" customHeight="false" outlineLevel="0" collapsed="false">
      <c r="A128" s="10" t="str">
        <f aca="false">IF(D128="","","E-"&amp;TEXT(ROW()-3,"0000"))</f>
        <v/>
      </c>
      <c r="B128" s="11"/>
      <c r="C128" s="12"/>
      <c r="D128" s="13"/>
      <c r="E128" s="14"/>
      <c r="F128" s="12"/>
      <c r="G128" s="12"/>
      <c r="H128" s="15"/>
      <c r="I128" s="16"/>
      <c r="J128" s="17" t="str">
        <f aca="false">IF(D128="","",HYPERLINK(Settings!$B$7&amp;A128&amp;".pdf","Open "&amp;A128&amp;".pdf"))</f>
        <v/>
      </c>
      <c r="K128" s="16"/>
      <c r="L128" s="12"/>
      <c r="M128" s="12"/>
      <c r="N128" s="15"/>
      <c r="O128" s="15"/>
      <c r="P128" s="12"/>
      <c r="Q128" s="15"/>
      <c r="R128" s="15"/>
      <c r="S128" s="15" t="str">
        <f aca="false">IF(D128="","",IF(AND(O128="Yes",OR(Q128&lt;&gt;"Yes",R128="Yes")),"Complete","Open"))</f>
        <v/>
      </c>
      <c r="T128" s="18" t="str">
        <f aca="false">IF(AND(Q128="Yes",R128&lt;&gt;"Yes"),HYPERLINK("mailto:"&amp;Settings!$B$5&amp;"?subject="&amp;SUBSTITUTE(SUBSTITUTE(SUBSTITUTE(SUBSTITUTE(SUBSTITUTE("Parts quote required - "&amp;D128&amp;" "&amp;E128,"%","%25"),"&amp;","%26")," ","%20"),"#","%23"),CHAR(10),"%0A")&amp;"&amp;body="&amp;SUBSTITUTE(SUBSTITUTE(SUBSTITUTE(SUBSTITUTE(SUBSTITUTE("Ref: "&amp;A128&amp;CHAR(10)&amp;"Customer: "&amp;D128&amp;"  "&amp;E128&amp;CHAR(10)&amp;"Phone: "&amp;F128&amp;CHAR(10)&amp;"Email: "&amp;G128&amp;CHAR(10)&amp;"Prefers: "&amp;H128&amp;CHAR(10)&amp;"Enquiry: "&amp;LEFT(I128,600)&amp;CHAR(10)&amp;CHAR(10)&amp;"Sent from the Preston Mazda enquiry log.","%","%25"),"&amp;","%26")," ","%20"),"#","%23"),CHAR(10),"%0A"),"✉ Email parts"),"")</f>
        <v/>
      </c>
      <c r="U128" s="18" t="str">
        <f aca="false">IF(AND(N128="Yes",O128&lt;&gt;"Yes"),HYPERLINK("mailto:"&amp;Settings!$B$6&amp;"?subject="&amp;SUBSTITUTE(SUBSTITUTE(SUBSTITUTE(SUBSTITUTE(SUBSTITUTE("Customer contact required - "&amp;D128&amp;" "&amp;E128,"%","%25"),"&amp;","%26")," ","%20"),"#","%23"),CHAR(10),"%0A")&amp;"&amp;body="&amp;SUBSTITUTE(SUBSTITUTE(SUBSTITUTE(SUBSTITUTE(SUBSTITUTE("Ref: "&amp;A128&amp;CHAR(10)&amp;"Customer: "&amp;D128&amp;"  "&amp;E128&amp;CHAR(10)&amp;"Phone: "&amp;F128&amp;CHAR(10)&amp;"Email: "&amp;G128&amp;CHAR(10)&amp;"Prefers: "&amp;H128&amp;CHAR(10)&amp;"Enquiry: "&amp;LEFT(I128,600)&amp;CHAR(10)&amp;CHAR(10)&amp;"Sent from the Preston Mazda enquiry log.","%","%25"),"&amp;","%26")," ","%20"),"#","%23"),CHAR(10),"%0A"),"✉ Email advisors"),"")</f>
        <v/>
      </c>
      <c r="V128" s="18" t="str">
        <f aca="false">IF(OR(M128="",IFERROR(INDEX(Staff!$B$4:$B$33,MATCH(M128,Staff!$A$4:$A$33,0)),"")=""),"",HYPERLINK("mailto:"&amp;IFERROR(INDEX(Staff!$B$4:$B$33,MATCH(M128,Staff!$A$4:$A$33,0)),"")&amp;"?subject="&amp;SUBSTITUTE(SUBSTITUTE(SUBSTITUTE(SUBSTITUTE(SUBSTITUTE("Enquiry "&amp;A128&amp;" allocated to you - "&amp;D128,"%","%25"),"&amp;","%26")," ","%20"),"#","%23"),CHAR(10),"%0A")&amp;"&amp;body="&amp;SUBSTITUTE(SUBSTITUTE(SUBSTITUTE(SUBSTITUTE(SUBSTITUTE("Ref: "&amp;A128&amp;CHAR(10)&amp;"Customer: "&amp;D128&amp;"  "&amp;E128&amp;CHAR(10)&amp;"Phone: "&amp;F128&amp;CHAR(10)&amp;"Email: "&amp;G128&amp;CHAR(10)&amp;"Prefers: "&amp;H128&amp;CHAR(10)&amp;"Enquiry: "&amp;LEFT(I128,600)&amp;CHAR(10)&amp;CHAR(10)&amp;"Sent from the Preston Mazda enquiry log.","%","%25"),"&amp;","%26")," ","%20"),"#","%23"),CHAR(10),"%0A"),"✉ Email "&amp;M128))</f>
        <v/>
      </c>
      <c r="W128" s="18" t="str">
        <f aca="false">IF(OR(P128="",IFERROR(INDEX(Staff!$E$4:$E$33,MATCH(P128,Staff!$D$4:$D$33,0)),"")=""),"",HYPERLINK("mailto:"&amp;IFERROR(INDEX(Staff!$E$4:$E$33,MATCH(P128,Staff!$D$4:$D$33,0)),"")&amp;"?subject="&amp;SUBSTITUTE(SUBSTITUTE(SUBSTITUTE(SUBSTITUTE(SUBSTITUTE("Parts quote "&amp;A128&amp;" allocated to you - "&amp;D128,"%","%25"),"&amp;","%26")," ","%20"),"#","%23"),CHAR(10),"%0A")&amp;"&amp;body="&amp;SUBSTITUTE(SUBSTITUTE(SUBSTITUTE(SUBSTITUTE(SUBSTITUTE("Ref: "&amp;A128&amp;CHAR(10)&amp;"Customer: "&amp;D128&amp;"  "&amp;E128&amp;CHAR(10)&amp;"Phone: "&amp;F128&amp;CHAR(10)&amp;"Email: "&amp;G128&amp;CHAR(10)&amp;"Prefers: "&amp;H128&amp;CHAR(10)&amp;"Enquiry: "&amp;LEFT(I128,600)&amp;CHAR(10)&amp;CHAR(10)&amp;"Sent from the Preston Mazda enquiry log.","%","%25"),"&amp;","%26")," ","%20"),"#","%23"),CHAR(10),"%0A"),"✉ Email "&amp;P128))</f>
        <v/>
      </c>
    </row>
    <row r="129" customFormat="false" ht="15" hidden="false" customHeight="false" outlineLevel="0" collapsed="false">
      <c r="A129" s="10" t="str">
        <f aca="false">IF(D129="","","E-"&amp;TEXT(ROW()-3,"0000"))</f>
        <v/>
      </c>
      <c r="B129" s="11"/>
      <c r="C129" s="12"/>
      <c r="D129" s="13"/>
      <c r="E129" s="14"/>
      <c r="F129" s="12"/>
      <c r="G129" s="12"/>
      <c r="H129" s="15"/>
      <c r="I129" s="16"/>
      <c r="J129" s="17" t="str">
        <f aca="false">IF(D129="","",HYPERLINK(Settings!$B$7&amp;A129&amp;".pdf","Open "&amp;A129&amp;".pdf"))</f>
        <v/>
      </c>
      <c r="K129" s="16"/>
      <c r="L129" s="12"/>
      <c r="M129" s="12"/>
      <c r="N129" s="15"/>
      <c r="O129" s="15"/>
      <c r="P129" s="12"/>
      <c r="Q129" s="15"/>
      <c r="R129" s="15"/>
      <c r="S129" s="15" t="str">
        <f aca="false">IF(D129="","",IF(AND(O129="Yes",OR(Q129&lt;&gt;"Yes",R129="Yes")),"Complete","Open"))</f>
        <v/>
      </c>
      <c r="T129" s="18" t="str">
        <f aca="false">IF(AND(Q129="Yes",R129&lt;&gt;"Yes"),HYPERLINK("mailto:"&amp;Settings!$B$5&amp;"?subject="&amp;SUBSTITUTE(SUBSTITUTE(SUBSTITUTE(SUBSTITUTE(SUBSTITUTE("Parts quote required - "&amp;D129&amp;" "&amp;E129,"%","%25"),"&amp;","%26")," ","%20"),"#","%23"),CHAR(10),"%0A")&amp;"&amp;body="&amp;SUBSTITUTE(SUBSTITUTE(SUBSTITUTE(SUBSTITUTE(SUBSTITUTE("Ref: "&amp;A129&amp;CHAR(10)&amp;"Customer: "&amp;D129&amp;"  "&amp;E129&amp;CHAR(10)&amp;"Phone: "&amp;F129&amp;CHAR(10)&amp;"Email: "&amp;G129&amp;CHAR(10)&amp;"Prefers: "&amp;H129&amp;CHAR(10)&amp;"Enquiry: "&amp;LEFT(I129,600)&amp;CHAR(10)&amp;CHAR(10)&amp;"Sent from the Preston Mazda enquiry log.","%","%25"),"&amp;","%26")," ","%20"),"#","%23"),CHAR(10),"%0A"),"✉ Email parts"),"")</f>
        <v/>
      </c>
      <c r="U129" s="18" t="str">
        <f aca="false">IF(AND(N129="Yes",O129&lt;&gt;"Yes"),HYPERLINK("mailto:"&amp;Settings!$B$6&amp;"?subject="&amp;SUBSTITUTE(SUBSTITUTE(SUBSTITUTE(SUBSTITUTE(SUBSTITUTE("Customer contact required - "&amp;D129&amp;" "&amp;E129,"%","%25"),"&amp;","%26")," ","%20"),"#","%23"),CHAR(10),"%0A")&amp;"&amp;body="&amp;SUBSTITUTE(SUBSTITUTE(SUBSTITUTE(SUBSTITUTE(SUBSTITUTE("Ref: "&amp;A129&amp;CHAR(10)&amp;"Customer: "&amp;D129&amp;"  "&amp;E129&amp;CHAR(10)&amp;"Phone: "&amp;F129&amp;CHAR(10)&amp;"Email: "&amp;G129&amp;CHAR(10)&amp;"Prefers: "&amp;H129&amp;CHAR(10)&amp;"Enquiry: "&amp;LEFT(I129,600)&amp;CHAR(10)&amp;CHAR(10)&amp;"Sent from the Preston Mazda enquiry log.","%","%25"),"&amp;","%26")," ","%20"),"#","%23"),CHAR(10),"%0A"),"✉ Email advisors"),"")</f>
        <v/>
      </c>
      <c r="V129" s="18" t="str">
        <f aca="false">IF(OR(M129="",IFERROR(INDEX(Staff!$B$4:$B$33,MATCH(M129,Staff!$A$4:$A$33,0)),"")=""),"",HYPERLINK("mailto:"&amp;IFERROR(INDEX(Staff!$B$4:$B$33,MATCH(M129,Staff!$A$4:$A$33,0)),"")&amp;"?subject="&amp;SUBSTITUTE(SUBSTITUTE(SUBSTITUTE(SUBSTITUTE(SUBSTITUTE("Enquiry "&amp;A129&amp;" allocated to you - "&amp;D129,"%","%25"),"&amp;","%26")," ","%20"),"#","%23"),CHAR(10),"%0A")&amp;"&amp;body="&amp;SUBSTITUTE(SUBSTITUTE(SUBSTITUTE(SUBSTITUTE(SUBSTITUTE("Ref: "&amp;A129&amp;CHAR(10)&amp;"Customer: "&amp;D129&amp;"  "&amp;E129&amp;CHAR(10)&amp;"Phone: "&amp;F129&amp;CHAR(10)&amp;"Email: "&amp;G129&amp;CHAR(10)&amp;"Prefers: "&amp;H129&amp;CHAR(10)&amp;"Enquiry: "&amp;LEFT(I129,600)&amp;CHAR(10)&amp;CHAR(10)&amp;"Sent from the Preston Mazda enquiry log.","%","%25"),"&amp;","%26")," ","%20"),"#","%23"),CHAR(10),"%0A"),"✉ Email "&amp;M129))</f>
        <v/>
      </c>
      <c r="W129" s="18" t="str">
        <f aca="false">IF(OR(P129="",IFERROR(INDEX(Staff!$E$4:$E$33,MATCH(P129,Staff!$D$4:$D$33,0)),"")=""),"",HYPERLINK("mailto:"&amp;IFERROR(INDEX(Staff!$E$4:$E$33,MATCH(P129,Staff!$D$4:$D$33,0)),"")&amp;"?subject="&amp;SUBSTITUTE(SUBSTITUTE(SUBSTITUTE(SUBSTITUTE(SUBSTITUTE("Parts quote "&amp;A129&amp;" allocated to you - "&amp;D129,"%","%25"),"&amp;","%26")," ","%20"),"#","%23"),CHAR(10),"%0A")&amp;"&amp;body="&amp;SUBSTITUTE(SUBSTITUTE(SUBSTITUTE(SUBSTITUTE(SUBSTITUTE("Ref: "&amp;A129&amp;CHAR(10)&amp;"Customer: "&amp;D129&amp;"  "&amp;E129&amp;CHAR(10)&amp;"Phone: "&amp;F129&amp;CHAR(10)&amp;"Email: "&amp;G129&amp;CHAR(10)&amp;"Prefers: "&amp;H129&amp;CHAR(10)&amp;"Enquiry: "&amp;LEFT(I129,600)&amp;CHAR(10)&amp;CHAR(10)&amp;"Sent from the Preston Mazda enquiry log.","%","%25"),"&amp;","%26")," ","%20"),"#","%23"),CHAR(10),"%0A"),"✉ Email "&amp;P129))</f>
        <v/>
      </c>
    </row>
    <row r="130" customFormat="false" ht="15" hidden="false" customHeight="false" outlineLevel="0" collapsed="false">
      <c r="A130" s="10" t="str">
        <f aca="false">IF(D130="","","E-"&amp;TEXT(ROW()-3,"0000"))</f>
        <v/>
      </c>
      <c r="B130" s="11"/>
      <c r="C130" s="12"/>
      <c r="D130" s="13"/>
      <c r="E130" s="14"/>
      <c r="F130" s="12"/>
      <c r="G130" s="12"/>
      <c r="H130" s="15"/>
      <c r="I130" s="16"/>
      <c r="J130" s="17" t="str">
        <f aca="false">IF(D130="","",HYPERLINK(Settings!$B$7&amp;A130&amp;".pdf","Open "&amp;A130&amp;".pdf"))</f>
        <v/>
      </c>
      <c r="K130" s="16"/>
      <c r="L130" s="12"/>
      <c r="M130" s="12"/>
      <c r="N130" s="15"/>
      <c r="O130" s="15"/>
      <c r="P130" s="12"/>
      <c r="Q130" s="15"/>
      <c r="R130" s="15"/>
      <c r="S130" s="15" t="str">
        <f aca="false">IF(D130="","",IF(AND(O130="Yes",OR(Q130&lt;&gt;"Yes",R130="Yes")),"Complete","Open"))</f>
        <v/>
      </c>
      <c r="T130" s="18" t="str">
        <f aca="false">IF(AND(Q130="Yes",R130&lt;&gt;"Yes"),HYPERLINK("mailto:"&amp;Settings!$B$5&amp;"?subject="&amp;SUBSTITUTE(SUBSTITUTE(SUBSTITUTE(SUBSTITUTE(SUBSTITUTE("Parts quote required - "&amp;D130&amp;" "&amp;E130,"%","%25"),"&amp;","%26")," ","%20"),"#","%23"),CHAR(10),"%0A")&amp;"&amp;body="&amp;SUBSTITUTE(SUBSTITUTE(SUBSTITUTE(SUBSTITUTE(SUBSTITUTE("Ref: "&amp;A130&amp;CHAR(10)&amp;"Customer: "&amp;D130&amp;"  "&amp;E130&amp;CHAR(10)&amp;"Phone: "&amp;F130&amp;CHAR(10)&amp;"Email: "&amp;G130&amp;CHAR(10)&amp;"Prefers: "&amp;H130&amp;CHAR(10)&amp;"Enquiry: "&amp;LEFT(I130,600)&amp;CHAR(10)&amp;CHAR(10)&amp;"Sent from the Preston Mazda enquiry log.","%","%25"),"&amp;","%26")," ","%20"),"#","%23"),CHAR(10),"%0A"),"✉ Email parts"),"")</f>
        <v/>
      </c>
      <c r="U130" s="18" t="str">
        <f aca="false">IF(AND(N130="Yes",O130&lt;&gt;"Yes"),HYPERLINK("mailto:"&amp;Settings!$B$6&amp;"?subject="&amp;SUBSTITUTE(SUBSTITUTE(SUBSTITUTE(SUBSTITUTE(SUBSTITUTE("Customer contact required - "&amp;D130&amp;" "&amp;E130,"%","%25"),"&amp;","%26")," ","%20"),"#","%23"),CHAR(10),"%0A")&amp;"&amp;body="&amp;SUBSTITUTE(SUBSTITUTE(SUBSTITUTE(SUBSTITUTE(SUBSTITUTE("Ref: "&amp;A130&amp;CHAR(10)&amp;"Customer: "&amp;D130&amp;"  "&amp;E130&amp;CHAR(10)&amp;"Phone: "&amp;F130&amp;CHAR(10)&amp;"Email: "&amp;G130&amp;CHAR(10)&amp;"Prefers: "&amp;H130&amp;CHAR(10)&amp;"Enquiry: "&amp;LEFT(I130,600)&amp;CHAR(10)&amp;CHAR(10)&amp;"Sent from the Preston Mazda enquiry log.","%","%25"),"&amp;","%26")," ","%20"),"#","%23"),CHAR(10),"%0A"),"✉ Email advisors"),"")</f>
        <v/>
      </c>
      <c r="V130" s="18" t="str">
        <f aca="false">IF(OR(M130="",IFERROR(INDEX(Staff!$B$4:$B$33,MATCH(M130,Staff!$A$4:$A$33,0)),"")=""),"",HYPERLINK("mailto:"&amp;IFERROR(INDEX(Staff!$B$4:$B$33,MATCH(M130,Staff!$A$4:$A$33,0)),"")&amp;"?subject="&amp;SUBSTITUTE(SUBSTITUTE(SUBSTITUTE(SUBSTITUTE(SUBSTITUTE("Enquiry "&amp;A130&amp;" allocated to you - "&amp;D130,"%","%25"),"&amp;","%26")," ","%20"),"#","%23"),CHAR(10),"%0A")&amp;"&amp;body="&amp;SUBSTITUTE(SUBSTITUTE(SUBSTITUTE(SUBSTITUTE(SUBSTITUTE("Ref: "&amp;A130&amp;CHAR(10)&amp;"Customer: "&amp;D130&amp;"  "&amp;E130&amp;CHAR(10)&amp;"Phone: "&amp;F130&amp;CHAR(10)&amp;"Email: "&amp;G130&amp;CHAR(10)&amp;"Prefers: "&amp;H130&amp;CHAR(10)&amp;"Enquiry: "&amp;LEFT(I130,600)&amp;CHAR(10)&amp;CHAR(10)&amp;"Sent from the Preston Mazda enquiry log.","%","%25"),"&amp;","%26")," ","%20"),"#","%23"),CHAR(10),"%0A"),"✉ Email "&amp;M130))</f>
        <v/>
      </c>
      <c r="W130" s="18" t="str">
        <f aca="false">IF(OR(P130="",IFERROR(INDEX(Staff!$E$4:$E$33,MATCH(P130,Staff!$D$4:$D$33,0)),"")=""),"",HYPERLINK("mailto:"&amp;IFERROR(INDEX(Staff!$E$4:$E$33,MATCH(P130,Staff!$D$4:$D$33,0)),"")&amp;"?subject="&amp;SUBSTITUTE(SUBSTITUTE(SUBSTITUTE(SUBSTITUTE(SUBSTITUTE("Parts quote "&amp;A130&amp;" allocated to you - "&amp;D130,"%","%25"),"&amp;","%26")," ","%20"),"#","%23"),CHAR(10),"%0A")&amp;"&amp;body="&amp;SUBSTITUTE(SUBSTITUTE(SUBSTITUTE(SUBSTITUTE(SUBSTITUTE("Ref: "&amp;A130&amp;CHAR(10)&amp;"Customer: "&amp;D130&amp;"  "&amp;E130&amp;CHAR(10)&amp;"Phone: "&amp;F130&amp;CHAR(10)&amp;"Email: "&amp;G130&amp;CHAR(10)&amp;"Prefers: "&amp;H130&amp;CHAR(10)&amp;"Enquiry: "&amp;LEFT(I130,600)&amp;CHAR(10)&amp;CHAR(10)&amp;"Sent from the Preston Mazda enquiry log.","%","%25"),"&amp;","%26")," ","%20"),"#","%23"),CHAR(10),"%0A"),"✉ Email "&amp;P130))</f>
        <v/>
      </c>
    </row>
    <row r="131" customFormat="false" ht="15" hidden="false" customHeight="false" outlineLevel="0" collapsed="false">
      <c r="A131" s="10" t="str">
        <f aca="false">IF(D131="","","E-"&amp;TEXT(ROW()-3,"0000"))</f>
        <v/>
      </c>
      <c r="B131" s="11"/>
      <c r="C131" s="12"/>
      <c r="D131" s="13"/>
      <c r="E131" s="14"/>
      <c r="F131" s="12"/>
      <c r="G131" s="12"/>
      <c r="H131" s="15"/>
      <c r="I131" s="16"/>
      <c r="J131" s="17" t="str">
        <f aca="false">IF(D131="","",HYPERLINK(Settings!$B$7&amp;A131&amp;".pdf","Open "&amp;A131&amp;".pdf"))</f>
        <v/>
      </c>
      <c r="K131" s="16"/>
      <c r="L131" s="12"/>
      <c r="M131" s="12"/>
      <c r="N131" s="15"/>
      <c r="O131" s="15"/>
      <c r="P131" s="12"/>
      <c r="Q131" s="15"/>
      <c r="R131" s="15"/>
      <c r="S131" s="15" t="str">
        <f aca="false">IF(D131="","",IF(AND(O131="Yes",OR(Q131&lt;&gt;"Yes",R131="Yes")),"Complete","Open"))</f>
        <v/>
      </c>
      <c r="T131" s="18" t="str">
        <f aca="false">IF(AND(Q131="Yes",R131&lt;&gt;"Yes"),HYPERLINK("mailto:"&amp;Settings!$B$5&amp;"?subject="&amp;SUBSTITUTE(SUBSTITUTE(SUBSTITUTE(SUBSTITUTE(SUBSTITUTE("Parts quote required - "&amp;D131&amp;" "&amp;E131,"%","%25"),"&amp;","%26")," ","%20"),"#","%23"),CHAR(10),"%0A")&amp;"&amp;body="&amp;SUBSTITUTE(SUBSTITUTE(SUBSTITUTE(SUBSTITUTE(SUBSTITUTE("Ref: "&amp;A131&amp;CHAR(10)&amp;"Customer: "&amp;D131&amp;"  "&amp;E131&amp;CHAR(10)&amp;"Phone: "&amp;F131&amp;CHAR(10)&amp;"Email: "&amp;G131&amp;CHAR(10)&amp;"Prefers: "&amp;H131&amp;CHAR(10)&amp;"Enquiry: "&amp;LEFT(I131,600)&amp;CHAR(10)&amp;CHAR(10)&amp;"Sent from the Preston Mazda enquiry log.","%","%25"),"&amp;","%26")," ","%20"),"#","%23"),CHAR(10),"%0A"),"✉ Email parts"),"")</f>
        <v/>
      </c>
      <c r="U131" s="18" t="str">
        <f aca="false">IF(AND(N131="Yes",O131&lt;&gt;"Yes"),HYPERLINK("mailto:"&amp;Settings!$B$6&amp;"?subject="&amp;SUBSTITUTE(SUBSTITUTE(SUBSTITUTE(SUBSTITUTE(SUBSTITUTE("Customer contact required - "&amp;D131&amp;" "&amp;E131,"%","%25"),"&amp;","%26")," ","%20"),"#","%23"),CHAR(10),"%0A")&amp;"&amp;body="&amp;SUBSTITUTE(SUBSTITUTE(SUBSTITUTE(SUBSTITUTE(SUBSTITUTE("Ref: "&amp;A131&amp;CHAR(10)&amp;"Customer: "&amp;D131&amp;"  "&amp;E131&amp;CHAR(10)&amp;"Phone: "&amp;F131&amp;CHAR(10)&amp;"Email: "&amp;G131&amp;CHAR(10)&amp;"Prefers: "&amp;H131&amp;CHAR(10)&amp;"Enquiry: "&amp;LEFT(I131,600)&amp;CHAR(10)&amp;CHAR(10)&amp;"Sent from the Preston Mazda enquiry log.","%","%25"),"&amp;","%26")," ","%20"),"#","%23"),CHAR(10),"%0A"),"✉ Email advisors"),"")</f>
        <v/>
      </c>
      <c r="V131" s="18" t="str">
        <f aca="false">IF(OR(M131="",IFERROR(INDEX(Staff!$B$4:$B$33,MATCH(M131,Staff!$A$4:$A$33,0)),"")=""),"",HYPERLINK("mailto:"&amp;IFERROR(INDEX(Staff!$B$4:$B$33,MATCH(M131,Staff!$A$4:$A$33,0)),"")&amp;"?subject="&amp;SUBSTITUTE(SUBSTITUTE(SUBSTITUTE(SUBSTITUTE(SUBSTITUTE("Enquiry "&amp;A131&amp;" allocated to you - "&amp;D131,"%","%25"),"&amp;","%26")," ","%20"),"#","%23"),CHAR(10),"%0A")&amp;"&amp;body="&amp;SUBSTITUTE(SUBSTITUTE(SUBSTITUTE(SUBSTITUTE(SUBSTITUTE("Ref: "&amp;A131&amp;CHAR(10)&amp;"Customer: "&amp;D131&amp;"  "&amp;E131&amp;CHAR(10)&amp;"Phone: "&amp;F131&amp;CHAR(10)&amp;"Email: "&amp;G131&amp;CHAR(10)&amp;"Prefers: "&amp;H131&amp;CHAR(10)&amp;"Enquiry: "&amp;LEFT(I131,600)&amp;CHAR(10)&amp;CHAR(10)&amp;"Sent from the Preston Mazda enquiry log.","%","%25"),"&amp;","%26")," ","%20"),"#","%23"),CHAR(10),"%0A"),"✉ Email "&amp;M131))</f>
        <v/>
      </c>
      <c r="W131" s="18" t="str">
        <f aca="false">IF(OR(P131="",IFERROR(INDEX(Staff!$E$4:$E$33,MATCH(P131,Staff!$D$4:$D$33,0)),"")=""),"",HYPERLINK("mailto:"&amp;IFERROR(INDEX(Staff!$E$4:$E$33,MATCH(P131,Staff!$D$4:$D$33,0)),"")&amp;"?subject="&amp;SUBSTITUTE(SUBSTITUTE(SUBSTITUTE(SUBSTITUTE(SUBSTITUTE("Parts quote "&amp;A131&amp;" allocated to you - "&amp;D131,"%","%25"),"&amp;","%26")," ","%20"),"#","%23"),CHAR(10),"%0A")&amp;"&amp;body="&amp;SUBSTITUTE(SUBSTITUTE(SUBSTITUTE(SUBSTITUTE(SUBSTITUTE("Ref: "&amp;A131&amp;CHAR(10)&amp;"Customer: "&amp;D131&amp;"  "&amp;E131&amp;CHAR(10)&amp;"Phone: "&amp;F131&amp;CHAR(10)&amp;"Email: "&amp;G131&amp;CHAR(10)&amp;"Prefers: "&amp;H131&amp;CHAR(10)&amp;"Enquiry: "&amp;LEFT(I131,600)&amp;CHAR(10)&amp;CHAR(10)&amp;"Sent from the Preston Mazda enquiry log.","%","%25"),"&amp;","%26")," ","%20"),"#","%23"),CHAR(10),"%0A"),"✉ Email "&amp;P131))</f>
        <v/>
      </c>
    </row>
    <row r="132" customFormat="false" ht="15" hidden="false" customHeight="false" outlineLevel="0" collapsed="false">
      <c r="A132" s="10" t="str">
        <f aca="false">IF(D132="","","E-"&amp;TEXT(ROW()-3,"0000"))</f>
        <v/>
      </c>
      <c r="B132" s="11"/>
      <c r="C132" s="12"/>
      <c r="D132" s="13"/>
      <c r="E132" s="14"/>
      <c r="F132" s="12"/>
      <c r="G132" s="12"/>
      <c r="H132" s="15"/>
      <c r="I132" s="16"/>
      <c r="J132" s="17" t="str">
        <f aca="false">IF(D132="","",HYPERLINK(Settings!$B$7&amp;A132&amp;".pdf","Open "&amp;A132&amp;".pdf"))</f>
        <v/>
      </c>
      <c r="K132" s="16"/>
      <c r="L132" s="12"/>
      <c r="M132" s="12"/>
      <c r="N132" s="15"/>
      <c r="O132" s="15"/>
      <c r="P132" s="12"/>
      <c r="Q132" s="15"/>
      <c r="R132" s="15"/>
      <c r="S132" s="15" t="str">
        <f aca="false">IF(D132="","",IF(AND(O132="Yes",OR(Q132&lt;&gt;"Yes",R132="Yes")),"Complete","Open"))</f>
        <v/>
      </c>
      <c r="T132" s="18" t="str">
        <f aca="false">IF(AND(Q132="Yes",R132&lt;&gt;"Yes"),HYPERLINK("mailto:"&amp;Settings!$B$5&amp;"?subject="&amp;SUBSTITUTE(SUBSTITUTE(SUBSTITUTE(SUBSTITUTE(SUBSTITUTE("Parts quote required - "&amp;D132&amp;" "&amp;E132,"%","%25"),"&amp;","%26")," ","%20"),"#","%23"),CHAR(10),"%0A")&amp;"&amp;body="&amp;SUBSTITUTE(SUBSTITUTE(SUBSTITUTE(SUBSTITUTE(SUBSTITUTE("Ref: "&amp;A132&amp;CHAR(10)&amp;"Customer: "&amp;D132&amp;"  "&amp;E132&amp;CHAR(10)&amp;"Phone: "&amp;F132&amp;CHAR(10)&amp;"Email: "&amp;G132&amp;CHAR(10)&amp;"Prefers: "&amp;H132&amp;CHAR(10)&amp;"Enquiry: "&amp;LEFT(I132,600)&amp;CHAR(10)&amp;CHAR(10)&amp;"Sent from the Preston Mazda enquiry log.","%","%25"),"&amp;","%26")," ","%20"),"#","%23"),CHAR(10),"%0A"),"✉ Email parts"),"")</f>
        <v/>
      </c>
      <c r="U132" s="18" t="str">
        <f aca="false">IF(AND(N132="Yes",O132&lt;&gt;"Yes"),HYPERLINK("mailto:"&amp;Settings!$B$6&amp;"?subject="&amp;SUBSTITUTE(SUBSTITUTE(SUBSTITUTE(SUBSTITUTE(SUBSTITUTE("Customer contact required - "&amp;D132&amp;" "&amp;E132,"%","%25"),"&amp;","%26")," ","%20"),"#","%23"),CHAR(10),"%0A")&amp;"&amp;body="&amp;SUBSTITUTE(SUBSTITUTE(SUBSTITUTE(SUBSTITUTE(SUBSTITUTE("Ref: "&amp;A132&amp;CHAR(10)&amp;"Customer: "&amp;D132&amp;"  "&amp;E132&amp;CHAR(10)&amp;"Phone: "&amp;F132&amp;CHAR(10)&amp;"Email: "&amp;G132&amp;CHAR(10)&amp;"Prefers: "&amp;H132&amp;CHAR(10)&amp;"Enquiry: "&amp;LEFT(I132,600)&amp;CHAR(10)&amp;CHAR(10)&amp;"Sent from the Preston Mazda enquiry log.","%","%25"),"&amp;","%26")," ","%20"),"#","%23"),CHAR(10),"%0A"),"✉ Email advisors"),"")</f>
        <v/>
      </c>
      <c r="V132" s="18" t="str">
        <f aca="false">IF(OR(M132="",IFERROR(INDEX(Staff!$B$4:$B$33,MATCH(M132,Staff!$A$4:$A$33,0)),"")=""),"",HYPERLINK("mailto:"&amp;IFERROR(INDEX(Staff!$B$4:$B$33,MATCH(M132,Staff!$A$4:$A$33,0)),"")&amp;"?subject="&amp;SUBSTITUTE(SUBSTITUTE(SUBSTITUTE(SUBSTITUTE(SUBSTITUTE("Enquiry "&amp;A132&amp;" allocated to you - "&amp;D132,"%","%25"),"&amp;","%26")," ","%20"),"#","%23"),CHAR(10),"%0A")&amp;"&amp;body="&amp;SUBSTITUTE(SUBSTITUTE(SUBSTITUTE(SUBSTITUTE(SUBSTITUTE("Ref: "&amp;A132&amp;CHAR(10)&amp;"Customer: "&amp;D132&amp;"  "&amp;E132&amp;CHAR(10)&amp;"Phone: "&amp;F132&amp;CHAR(10)&amp;"Email: "&amp;G132&amp;CHAR(10)&amp;"Prefers: "&amp;H132&amp;CHAR(10)&amp;"Enquiry: "&amp;LEFT(I132,600)&amp;CHAR(10)&amp;CHAR(10)&amp;"Sent from the Preston Mazda enquiry log.","%","%25"),"&amp;","%26")," ","%20"),"#","%23"),CHAR(10),"%0A"),"✉ Email "&amp;M132))</f>
        <v/>
      </c>
      <c r="W132" s="18" t="str">
        <f aca="false">IF(OR(P132="",IFERROR(INDEX(Staff!$E$4:$E$33,MATCH(P132,Staff!$D$4:$D$33,0)),"")=""),"",HYPERLINK("mailto:"&amp;IFERROR(INDEX(Staff!$E$4:$E$33,MATCH(P132,Staff!$D$4:$D$33,0)),"")&amp;"?subject="&amp;SUBSTITUTE(SUBSTITUTE(SUBSTITUTE(SUBSTITUTE(SUBSTITUTE("Parts quote "&amp;A132&amp;" allocated to you - "&amp;D132,"%","%25"),"&amp;","%26")," ","%20"),"#","%23"),CHAR(10),"%0A")&amp;"&amp;body="&amp;SUBSTITUTE(SUBSTITUTE(SUBSTITUTE(SUBSTITUTE(SUBSTITUTE("Ref: "&amp;A132&amp;CHAR(10)&amp;"Customer: "&amp;D132&amp;"  "&amp;E132&amp;CHAR(10)&amp;"Phone: "&amp;F132&amp;CHAR(10)&amp;"Email: "&amp;G132&amp;CHAR(10)&amp;"Prefers: "&amp;H132&amp;CHAR(10)&amp;"Enquiry: "&amp;LEFT(I132,600)&amp;CHAR(10)&amp;CHAR(10)&amp;"Sent from the Preston Mazda enquiry log.","%","%25"),"&amp;","%26")," ","%20"),"#","%23"),CHAR(10),"%0A"),"✉ Email "&amp;P132))</f>
        <v/>
      </c>
    </row>
    <row r="133" customFormat="false" ht="15" hidden="false" customHeight="false" outlineLevel="0" collapsed="false">
      <c r="A133" s="10" t="str">
        <f aca="false">IF(D133="","","E-"&amp;TEXT(ROW()-3,"0000"))</f>
        <v/>
      </c>
      <c r="B133" s="11"/>
      <c r="C133" s="12"/>
      <c r="D133" s="13"/>
      <c r="E133" s="14"/>
      <c r="F133" s="12"/>
      <c r="G133" s="12"/>
      <c r="H133" s="15"/>
      <c r="I133" s="16"/>
      <c r="J133" s="17" t="str">
        <f aca="false">IF(D133="","",HYPERLINK(Settings!$B$7&amp;A133&amp;".pdf","Open "&amp;A133&amp;".pdf"))</f>
        <v/>
      </c>
      <c r="K133" s="16"/>
      <c r="L133" s="12"/>
      <c r="M133" s="12"/>
      <c r="N133" s="15"/>
      <c r="O133" s="15"/>
      <c r="P133" s="12"/>
      <c r="Q133" s="15"/>
      <c r="R133" s="15"/>
      <c r="S133" s="15" t="str">
        <f aca="false">IF(D133="","",IF(AND(O133="Yes",OR(Q133&lt;&gt;"Yes",R133="Yes")),"Complete","Open"))</f>
        <v/>
      </c>
      <c r="T133" s="18" t="str">
        <f aca="false">IF(AND(Q133="Yes",R133&lt;&gt;"Yes"),HYPERLINK("mailto:"&amp;Settings!$B$5&amp;"?subject="&amp;SUBSTITUTE(SUBSTITUTE(SUBSTITUTE(SUBSTITUTE(SUBSTITUTE("Parts quote required - "&amp;D133&amp;" "&amp;E133,"%","%25"),"&amp;","%26")," ","%20"),"#","%23"),CHAR(10),"%0A")&amp;"&amp;body="&amp;SUBSTITUTE(SUBSTITUTE(SUBSTITUTE(SUBSTITUTE(SUBSTITUTE("Ref: "&amp;A133&amp;CHAR(10)&amp;"Customer: "&amp;D133&amp;"  "&amp;E133&amp;CHAR(10)&amp;"Phone: "&amp;F133&amp;CHAR(10)&amp;"Email: "&amp;G133&amp;CHAR(10)&amp;"Prefers: "&amp;H133&amp;CHAR(10)&amp;"Enquiry: "&amp;LEFT(I133,600)&amp;CHAR(10)&amp;CHAR(10)&amp;"Sent from the Preston Mazda enquiry log.","%","%25"),"&amp;","%26")," ","%20"),"#","%23"),CHAR(10),"%0A"),"✉ Email parts"),"")</f>
        <v/>
      </c>
      <c r="U133" s="18" t="str">
        <f aca="false">IF(AND(N133="Yes",O133&lt;&gt;"Yes"),HYPERLINK("mailto:"&amp;Settings!$B$6&amp;"?subject="&amp;SUBSTITUTE(SUBSTITUTE(SUBSTITUTE(SUBSTITUTE(SUBSTITUTE("Customer contact required - "&amp;D133&amp;" "&amp;E133,"%","%25"),"&amp;","%26")," ","%20"),"#","%23"),CHAR(10),"%0A")&amp;"&amp;body="&amp;SUBSTITUTE(SUBSTITUTE(SUBSTITUTE(SUBSTITUTE(SUBSTITUTE("Ref: "&amp;A133&amp;CHAR(10)&amp;"Customer: "&amp;D133&amp;"  "&amp;E133&amp;CHAR(10)&amp;"Phone: "&amp;F133&amp;CHAR(10)&amp;"Email: "&amp;G133&amp;CHAR(10)&amp;"Prefers: "&amp;H133&amp;CHAR(10)&amp;"Enquiry: "&amp;LEFT(I133,600)&amp;CHAR(10)&amp;CHAR(10)&amp;"Sent from the Preston Mazda enquiry log.","%","%25"),"&amp;","%26")," ","%20"),"#","%23"),CHAR(10),"%0A"),"✉ Email advisors"),"")</f>
        <v/>
      </c>
      <c r="V133" s="18" t="str">
        <f aca="false">IF(OR(M133="",IFERROR(INDEX(Staff!$B$4:$B$33,MATCH(M133,Staff!$A$4:$A$33,0)),"")=""),"",HYPERLINK("mailto:"&amp;IFERROR(INDEX(Staff!$B$4:$B$33,MATCH(M133,Staff!$A$4:$A$33,0)),"")&amp;"?subject="&amp;SUBSTITUTE(SUBSTITUTE(SUBSTITUTE(SUBSTITUTE(SUBSTITUTE("Enquiry "&amp;A133&amp;" allocated to you - "&amp;D133,"%","%25"),"&amp;","%26")," ","%20"),"#","%23"),CHAR(10),"%0A")&amp;"&amp;body="&amp;SUBSTITUTE(SUBSTITUTE(SUBSTITUTE(SUBSTITUTE(SUBSTITUTE("Ref: "&amp;A133&amp;CHAR(10)&amp;"Customer: "&amp;D133&amp;"  "&amp;E133&amp;CHAR(10)&amp;"Phone: "&amp;F133&amp;CHAR(10)&amp;"Email: "&amp;G133&amp;CHAR(10)&amp;"Prefers: "&amp;H133&amp;CHAR(10)&amp;"Enquiry: "&amp;LEFT(I133,600)&amp;CHAR(10)&amp;CHAR(10)&amp;"Sent from the Preston Mazda enquiry log.","%","%25"),"&amp;","%26")," ","%20"),"#","%23"),CHAR(10),"%0A"),"✉ Email "&amp;M133))</f>
        <v/>
      </c>
      <c r="W133" s="18" t="str">
        <f aca="false">IF(OR(P133="",IFERROR(INDEX(Staff!$E$4:$E$33,MATCH(P133,Staff!$D$4:$D$33,0)),"")=""),"",HYPERLINK("mailto:"&amp;IFERROR(INDEX(Staff!$E$4:$E$33,MATCH(P133,Staff!$D$4:$D$33,0)),"")&amp;"?subject="&amp;SUBSTITUTE(SUBSTITUTE(SUBSTITUTE(SUBSTITUTE(SUBSTITUTE("Parts quote "&amp;A133&amp;" allocated to you - "&amp;D133,"%","%25"),"&amp;","%26")," ","%20"),"#","%23"),CHAR(10),"%0A")&amp;"&amp;body="&amp;SUBSTITUTE(SUBSTITUTE(SUBSTITUTE(SUBSTITUTE(SUBSTITUTE("Ref: "&amp;A133&amp;CHAR(10)&amp;"Customer: "&amp;D133&amp;"  "&amp;E133&amp;CHAR(10)&amp;"Phone: "&amp;F133&amp;CHAR(10)&amp;"Email: "&amp;G133&amp;CHAR(10)&amp;"Prefers: "&amp;H133&amp;CHAR(10)&amp;"Enquiry: "&amp;LEFT(I133,600)&amp;CHAR(10)&amp;CHAR(10)&amp;"Sent from the Preston Mazda enquiry log.","%","%25"),"&amp;","%26")," ","%20"),"#","%23"),CHAR(10),"%0A"),"✉ Email "&amp;P133))</f>
        <v/>
      </c>
    </row>
    <row r="134" customFormat="false" ht="15" hidden="false" customHeight="false" outlineLevel="0" collapsed="false">
      <c r="A134" s="10" t="str">
        <f aca="false">IF(D134="","","E-"&amp;TEXT(ROW()-3,"0000"))</f>
        <v/>
      </c>
      <c r="B134" s="11"/>
      <c r="C134" s="12"/>
      <c r="D134" s="13"/>
      <c r="E134" s="14"/>
      <c r="F134" s="12"/>
      <c r="G134" s="12"/>
      <c r="H134" s="15"/>
      <c r="I134" s="16"/>
      <c r="J134" s="17" t="str">
        <f aca="false">IF(D134="","",HYPERLINK(Settings!$B$7&amp;A134&amp;".pdf","Open "&amp;A134&amp;".pdf"))</f>
        <v/>
      </c>
      <c r="K134" s="16"/>
      <c r="L134" s="12"/>
      <c r="M134" s="12"/>
      <c r="N134" s="15"/>
      <c r="O134" s="15"/>
      <c r="P134" s="12"/>
      <c r="Q134" s="15"/>
      <c r="R134" s="15"/>
      <c r="S134" s="15" t="str">
        <f aca="false">IF(D134="","",IF(AND(O134="Yes",OR(Q134&lt;&gt;"Yes",R134="Yes")),"Complete","Open"))</f>
        <v/>
      </c>
      <c r="T134" s="18" t="str">
        <f aca="false">IF(AND(Q134="Yes",R134&lt;&gt;"Yes"),HYPERLINK("mailto:"&amp;Settings!$B$5&amp;"?subject="&amp;SUBSTITUTE(SUBSTITUTE(SUBSTITUTE(SUBSTITUTE(SUBSTITUTE("Parts quote required - "&amp;D134&amp;" "&amp;E134,"%","%25"),"&amp;","%26")," ","%20"),"#","%23"),CHAR(10),"%0A")&amp;"&amp;body="&amp;SUBSTITUTE(SUBSTITUTE(SUBSTITUTE(SUBSTITUTE(SUBSTITUTE("Ref: "&amp;A134&amp;CHAR(10)&amp;"Customer: "&amp;D134&amp;"  "&amp;E134&amp;CHAR(10)&amp;"Phone: "&amp;F134&amp;CHAR(10)&amp;"Email: "&amp;G134&amp;CHAR(10)&amp;"Prefers: "&amp;H134&amp;CHAR(10)&amp;"Enquiry: "&amp;LEFT(I134,600)&amp;CHAR(10)&amp;CHAR(10)&amp;"Sent from the Preston Mazda enquiry log.","%","%25"),"&amp;","%26")," ","%20"),"#","%23"),CHAR(10),"%0A"),"✉ Email parts"),"")</f>
        <v/>
      </c>
      <c r="U134" s="18" t="str">
        <f aca="false">IF(AND(N134="Yes",O134&lt;&gt;"Yes"),HYPERLINK("mailto:"&amp;Settings!$B$6&amp;"?subject="&amp;SUBSTITUTE(SUBSTITUTE(SUBSTITUTE(SUBSTITUTE(SUBSTITUTE("Customer contact required - "&amp;D134&amp;" "&amp;E134,"%","%25"),"&amp;","%26")," ","%20"),"#","%23"),CHAR(10),"%0A")&amp;"&amp;body="&amp;SUBSTITUTE(SUBSTITUTE(SUBSTITUTE(SUBSTITUTE(SUBSTITUTE("Ref: "&amp;A134&amp;CHAR(10)&amp;"Customer: "&amp;D134&amp;"  "&amp;E134&amp;CHAR(10)&amp;"Phone: "&amp;F134&amp;CHAR(10)&amp;"Email: "&amp;G134&amp;CHAR(10)&amp;"Prefers: "&amp;H134&amp;CHAR(10)&amp;"Enquiry: "&amp;LEFT(I134,600)&amp;CHAR(10)&amp;CHAR(10)&amp;"Sent from the Preston Mazda enquiry log.","%","%25"),"&amp;","%26")," ","%20"),"#","%23"),CHAR(10),"%0A"),"✉ Email advisors"),"")</f>
        <v/>
      </c>
      <c r="V134" s="18" t="str">
        <f aca="false">IF(OR(M134="",IFERROR(INDEX(Staff!$B$4:$B$33,MATCH(M134,Staff!$A$4:$A$33,0)),"")=""),"",HYPERLINK("mailto:"&amp;IFERROR(INDEX(Staff!$B$4:$B$33,MATCH(M134,Staff!$A$4:$A$33,0)),"")&amp;"?subject="&amp;SUBSTITUTE(SUBSTITUTE(SUBSTITUTE(SUBSTITUTE(SUBSTITUTE("Enquiry "&amp;A134&amp;" allocated to you - "&amp;D134,"%","%25"),"&amp;","%26")," ","%20"),"#","%23"),CHAR(10),"%0A")&amp;"&amp;body="&amp;SUBSTITUTE(SUBSTITUTE(SUBSTITUTE(SUBSTITUTE(SUBSTITUTE("Ref: "&amp;A134&amp;CHAR(10)&amp;"Customer: "&amp;D134&amp;"  "&amp;E134&amp;CHAR(10)&amp;"Phone: "&amp;F134&amp;CHAR(10)&amp;"Email: "&amp;G134&amp;CHAR(10)&amp;"Prefers: "&amp;H134&amp;CHAR(10)&amp;"Enquiry: "&amp;LEFT(I134,600)&amp;CHAR(10)&amp;CHAR(10)&amp;"Sent from the Preston Mazda enquiry log.","%","%25"),"&amp;","%26")," ","%20"),"#","%23"),CHAR(10),"%0A"),"✉ Email "&amp;M134))</f>
        <v/>
      </c>
      <c r="W134" s="18" t="str">
        <f aca="false">IF(OR(P134="",IFERROR(INDEX(Staff!$E$4:$E$33,MATCH(P134,Staff!$D$4:$D$33,0)),"")=""),"",HYPERLINK("mailto:"&amp;IFERROR(INDEX(Staff!$E$4:$E$33,MATCH(P134,Staff!$D$4:$D$33,0)),"")&amp;"?subject="&amp;SUBSTITUTE(SUBSTITUTE(SUBSTITUTE(SUBSTITUTE(SUBSTITUTE("Parts quote "&amp;A134&amp;" allocated to you - "&amp;D134,"%","%25"),"&amp;","%26")," ","%20"),"#","%23"),CHAR(10),"%0A")&amp;"&amp;body="&amp;SUBSTITUTE(SUBSTITUTE(SUBSTITUTE(SUBSTITUTE(SUBSTITUTE("Ref: "&amp;A134&amp;CHAR(10)&amp;"Customer: "&amp;D134&amp;"  "&amp;E134&amp;CHAR(10)&amp;"Phone: "&amp;F134&amp;CHAR(10)&amp;"Email: "&amp;G134&amp;CHAR(10)&amp;"Prefers: "&amp;H134&amp;CHAR(10)&amp;"Enquiry: "&amp;LEFT(I134,600)&amp;CHAR(10)&amp;CHAR(10)&amp;"Sent from the Preston Mazda enquiry log.","%","%25"),"&amp;","%26")," ","%20"),"#","%23"),CHAR(10),"%0A"),"✉ Email "&amp;P134))</f>
        <v/>
      </c>
    </row>
    <row r="135" customFormat="false" ht="15" hidden="false" customHeight="false" outlineLevel="0" collapsed="false">
      <c r="A135" s="10" t="str">
        <f aca="false">IF(D135="","","E-"&amp;TEXT(ROW()-3,"0000"))</f>
        <v/>
      </c>
      <c r="B135" s="11"/>
      <c r="C135" s="12"/>
      <c r="D135" s="13"/>
      <c r="E135" s="14"/>
      <c r="F135" s="12"/>
      <c r="G135" s="12"/>
      <c r="H135" s="15"/>
      <c r="I135" s="16"/>
      <c r="J135" s="17" t="str">
        <f aca="false">IF(D135="","",HYPERLINK(Settings!$B$7&amp;A135&amp;".pdf","Open "&amp;A135&amp;".pdf"))</f>
        <v/>
      </c>
      <c r="K135" s="16"/>
      <c r="L135" s="12"/>
      <c r="M135" s="12"/>
      <c r="N135" s="15"/>
      <c r="O135" s="15"/>
      <c r="P135" s="12"/>
      <c r="Q135" s="15"/>
      <c r="R135" s="15"/>
      <c r="S135" s="15" t="str">
        <f aca="false">IF(D135="","",IF(AND(O135="Yes",OR(Q135&lt;&gt;"Yes",R135="Yes")),"Complete","Open"))</f>
        <v/>
      </c>
      <c r="T135" s="18" t="str">
        <f aca="false">IF(AND(Q135="Yes",R135&lt;&gt;"Yes"),HYPERLINK("mailto:"&amp;Settings!$B$5&amp;"?subject="&amp;SUBSTITUTE(SUBSTITUTE(SUBSTITUTE(SUBSTITUTE(SUBSTITUTE("Parts quote required - "&amp;D135&amp;" "&amp;E135,"%","%25"),"&amp;","%26")," ","%20"),"#","%23"),CHAR(10),"%0A")&amp;"&amp;body="&amp;SUBSTITUTE(SUBSTITUTE(SUBSTITUTE(SUBSTITUTE(SUBSTITUTE("Ref: "&amp;A135&amp;CHAR(10)&amp;"Customer: "&amp;D135&amp;"  "&amp;E135&amp;CHAR(10)&amp;"Phone: "&amp;F135&amp;CHAR(10)&amp;"Email: "&amp;G135&amp;CHAR(10)&amp;"Prefers: "&amp;H135&amp;CHAR(10)&amp;"Enquiry: "&amp;LEFT(I135,600)&amp;CHAR(10)&amp;CHAR(10)&amp;"Sent from the Preston Mazda enquiry log.","%","%25"),"&amp;","%26")," ","%20"),"#","%23"),CHAR(10),"%0A"),"✉ Email parts"),"")</f>
        <v/>
      </c>
      <c r="U135" s="18" t="str">
        <f aca="false">IF(AND(N135="Yes",O135&lt;&gt;"Yes"),HYPERLINK("mailto:"&amp;Settings!$B$6&amp;"?subject="&amp;SUBSTITUTE(SUBSTITUTE(SUBSTITUTE(SUBSTITUTE(SUBSTITUTE("Customer contact required - "&amp;D135&amp;" "&amp;E135,"%","%25"),"&amp;","%26")," ","%20"),"#","%23"),CHAR(10),"%0A")&amp;"&amp;body="&amp;SUBSTITUTE(SUBSTITUTE(SUBSTITUTE(SUBSTITUTE(SUBSTITUTE("Ref: "&amp;A135&amp;CHAR(10)&amp;"Customer: "&amp;D135&amp;"  "&amp;E135&amp;CHAR(10)&amp;"Phone: "&amp;F135&amp;CHAR(10)&amp;"Email: "&amp;G135&amp;CHAR(10)&amp;"Prefers: "&amp;H135&amp;CHAR(10)&amp;"Enquiry: "&amp;LEFT(I135,600)&amp;CHAR(10)&amp;CHAR(10)&amp;"Sent from the Preston Mazda enquiry log.","%","%25"),"&amp;","%26")," ","%20"),"#","%23"),CHAR(10),"%0A"),"✉ Email advisors"),"")</f>
        <v/>
      </c>
      <c r="V135" s="18" t="str">
        <f aca="false">IF(OR(M135="",IFERROR(INDEX(Staff!$B$4:$B$33,MATCH(M135,Staff!$A$4:$A$33,0)),"")=""),"",HYPERLINK("mailto:"&amp;IFERROR(INDEX(Staff!$B$4:$B$33,MATCH(M135,Staff!$A$4:$A$33,0)),"")&amp;"?subject="&amp;SUBSTITUTE(SUBSTITUTE(SUBSTITUTE(SUBSTITUTE(SUBSTITUTE("Enquiry "&amp;A135&amp;" allocated to you - "&amp;D135,"%","%25"),"&amp;","%26")," ","%20"),"#","%23"),CHAR(10),"%0A")&amp;"&amp;body="&amp;SUBSTITUTE(SUBSTITUTE(SUBSTITUTE(SUBSTITUTE(SUBSTITUTE("Ref: "&amp;A135&amp;CHAR(10)&amp;"Customer: "&amp;D135&amp;"  "&amp;E135&amp;CHAR(10)&amp;"Phone: "&amp;F135&amp;CHAR(10)&amp;"Email: "&amp;G135&amp;CHAR(10)&amp;"Prefers: "&amp;H135&amp;CHAR(10)&amp;"Enquiry: "&amp;LEFT(I135,600)&amp;CHAR(10)&amp;CHAR(10)&amp;"Sent from the Preston Mazda enquiry log.","%","%25"),"&amp;","%26")," ","%20"),"#","%23"),CHAR(10),"%0A"),"✉ Email "&amp;M135))</f>
        <v/>
      </c>
      <c r="W135" s="18" t="str">
        <f aca="false">IF(OR(P135="",IFERROR(INDEX(Staff!$E$4:$E$33,MATCH(P135,Staff!$D$4:$D$33,0)),"")=""),"",HYPERLINK("mailto:"&amp;IFERROR(INDEX(Staff!$E$4:$E$33,MATCH(P135,Staff!$D$4:$D$33,0)),"")&amp;"?subject="&amp;SUBSTITUTE(SUBSTITUTE(SUBSTITUTE(SUBSTITUTE(SUBSTITUTE("Parts quote "&amp;A135&amp;" allocated to you - "&amp;D135,"%","%25"),"&amp;","%26")," ","%20"),"#","%23"),CHAR(10),"%0A")&amp;"&amp;body="&amp;SUBSTITUTE(SUBSTITUTE(SUBSTITUTE(SUBSTITUTE(SUBSTITUTE("Ref: "&amp;A135&amp;CHAR(10)&amp;"Customer: "&amp;D135&amp;"  "&amp;E135&amp;CHAR(10)&amp;"Phone: "&amp;F135&amp;CHAR(10)&amp;"Email: "&amp;G135&amp;CHAR(10)&amp;"Prefers: "&amp;H135&amp;CHAR(10)&amp;"Enquiry: "&amp;LEFT(I135,600)&amp;CHAR(10)&amp;CHAR(10)&amp;"Sent from the Preston Mazda enquiry log.","%","%25"),"&amp;","%26")," ","%20"),"#","%23"),CHAR(10),"%0A"),"✉ Email "&amp;P135))</f>
        <v/>
      </c>
    </row>
    <row r="136" customFormat="false" ht="15" hidden="false" customHeight="false" outlineLevel="0" collapsed="false">
      <c r="A136" s="10" t="str">
        <f aca="false">IF(D136="","","E-"&amp;TEXT(ROW()-3,"0000"))</f>
        <v/>
      </c>
      <c r="B136" s="11"/>
      <c r="C136" s="12"/>
      <c r="D136" s="13"/>
      <c r="E136" s="14"/>
      <c r="F136" s="12"/>
      <c r="G136" s="12"/>
      <c r="H136" s="15"/>
      <c r="I136" s="16"/>
      <c r="J136" s="17" t="str">
        <f aca="false">IF(D136="","",HYPERLINK(Settings!$B$7&amp;A136&amp;".pdf","Open "&amp;A136&amp;".pdf"))</f>
        <v/>
      </c>
      <c r="K136" s="16"/>
      <c r="L136" s="12"/>
      <c r="M136" s="12"/>
      <c r="N136" s="15"/>
      <c r="O136" s="15"/>
      <c r="P136" s="12"/>
      <c r="Q136" s="15"/>
      <c r="R136" s="15"/>
      <c r="S136" s="15" t="str">
        <f aca="false">IF(D136="","",IF(AND(O136="Yes",OR(Q136&lt;&gt;"Yes",R136="Yes")),"Complete","Open"))</f>
        <v/>
      </c>
      <c r="T136" s="18" t="str">
        <f aca="false">IF(AND(Q136="Yes",R136&lt;&gt;"Yes"),HYPERLINK("mailto:"&amp;Settings!$B$5&amp;"?subject="&amp;SUBSTITUTE(SUBSTITUTE(SUBSTITUTE(SUBSTITUTE(SUBSTITUTE("Parts quote required - "&amp;D136&amp;" "&amp;E136,"%","%25"),"&amp;","%26")," ","%20"),"#","%23"),CHAR(10),"%0A")&amp;"&amp;body="&amp;SUBSTITUTE(SUBSTITUTE(SUBSTITUTE(SUBSTITUTE(SUBSTITUTE("Ref: "&amp;A136&amp;CHAR(10)&amp;"Customer: "&amp;D136&amp;"  "&amp;E136&amp;CHAR(10)&amp;"Phone: "&amp;F136&amp;CHAR(10)&amp;"Email: "&amp;G136&amp;CHAR(10)&amp;"Prefers: "&amp;H136&amp;CHAR(10)&amp;"Enquiry: "&amp;LEFT(I136,600)&amp;CHAR(10)&amp;CHAR(10)&amp;"Sent from the Preston Mazda enquiry log.","%","%25"),"&amp;","%26")," ","%20"),"#","%23"),CHAR(10),"%0A"),"✉ Email parts"),"")</f>
        <v/>
      </c>
      <c r="U136" s="18" t="str">
        <f aca="false">IF(AND(N136="Yes",O136&lt;&gt;"Yes"),HYPERLINK("mailto:"&amp;Settings!$B$6&amp;"?subject="&amp;SUBSTITUTE(SUBSTITUTE(SUBSTITUTE(SUBSTITUTE(SUBSTITUTE("Customer contact required - "&amp;D136&amp;" "&amp;E136,"%","%25"),"&amp;","%26")," ","%20"),"#","%23"),CHAR(10),"%0A")&amp;"&amp;body="&amp;SUBSTITUTE(SUBSTITUTE(SUBSTITUTE(SUBSTITUTE(SUBSTITUTE("Ref: "&amp;A136&amp;CHAR(10)&amp;"Customer: "&amp;D136&amp;"  "&amp;E136&amp;CHAR(10)&amp;"Phone: "&amp;F136&amp;CHAR(10)&amp;"Email: "&amp;G136&amp;CHAR(10)&amp;"Prefers: "&amp;H136&amp;CHAR(10)&amp;"Enquiry: "&amp;LEFT(I136,600)&amp;CHAR(10)&amp;CHAR(10)&amp;"Sent from the Preston Mazda enquiry log.","%","%25"),"&amp;","%26")," ","%20"),"#","%23"),CHAR(10),"%0A"),"✉ Email advisors"),"")</f>
        <v/>
      </c>
      <c r="V136" s="18" t="str">
        <f aca="false">IF(OR(M136="",IFERROR(INDEX(Staff!$B$4:$B$33,MATCH(M136,Staff!$A$4:$A$33,0)),"")=""),"",HYPERLINK("mailto:"&amp;IFERROR(INDEX(Staff!$B$4:$B$33,MATCH(M136,Staff!$A$4:$A$33,0)),"")&amp;"?subject="&amp;SUBSTITUTE(SUBSTITUTE(SUBSTITUTE(SUBSTITUTE(SUBSTITUTE("Enquiry "&amp;A136&amp;" allocated to you - "&amp;D136,"%","%25"),"&amp;","%26")," ","%20"),"#","%23"),CHAR(10),"%0A")&amp;"&amp;body="&amp;SUBSTITUTE(SUBSTITUTE(SUBSTITUTE(SUBSTITUTE(SUBSTITUTE("Ref: "&amp;A136&amp;CHAR(10)&amp;"Customer: "&amp;D136&amp;"  "&amp;E136&amp;CHAR(10)&amp;"Phone: "&amp;F136&amp;CHAR(10)&amp;"Email: "&amp;G136&amp;CHAR(10)&amp;"Prefers: "&amp;H136&amp;CHAR(10)&amp;"Enquiry: "&amp;LEFT(I136,600)&amp;CHAR(10)&amp;CHAR(10)&amp;"Sent from the Preston Mazda enquiry log.","%","%25"),"&amp;","%26")," ","%20"),"#","%23"),CHAR(10),"%0A"),"✉ Email "&amp;M136))</f>
        <v/>
      </c>
      <c r="W136" s="18" t="str">
        <f aca="false">IF(OR(P136="",IFERROR(INDEX(Staff!$E$4:$E$33,MATCH(P136,Staff!$D$4:$D$33,0)),"")=""),"",HYPERLINK("mailto:"&amp;IFERROR(INDEX(Staff!$E$4:$E$33,MATCH(P136,Staff!$D$4:$D$33,0)),"")&amp;"?subject="&amp;SUBSTITUTE(SUBSTITUTE(SUBSTITUTE(SUBSTITUTE(SUBSTITUTE("Parts quote "&amp;A136&amp;" allocated to you - "&amp;D136,"%","%25"),"&amp;","%26")," ","%20"),"#","%23"),CHAR(10),"%0A")&amp;"&amp;body="&amp;SUBSTITUTE(SUBSTITUTE(SUBSTITUTE(SUBSTITUTE(SUBSTITUTE("Ref: "&amp;A136&amp;CHAR(10)&amp;"Customer: "&amp;D136&amp;"  "&amp;E136&amp;CHAR(10)&amp;"Phone: "&amp;F136&amp;CHAR(10)&amp;"Email: "&amp;G136&amp;CHAR(10)&amp;"Prefers: "&amp;H136&amp;CHAR(10)&amp;"Enquiry: "&amp;LEFT(I136,600)&amp;CHAR(10)&amp;CHAR(10)&amp;"Sent from the Preston Mazda enquiry log.","%","%25"),"&amp;","%26")," ","%20"),"#","%23"),CHAR(10),"%0A"),"✉ Email "&amp;P136))</f>
        <v/>
      </c>
    </row>
    <row r="137" customFormat="false" ht="15" hidden="false" customHeight="false" outlineLevel="0" collapsed="false">
      <c r="A137" s="10" t="str">
        <f aca="false">IF(D137="","","E-"&amp;TEXT(ROW()-3,"0000"))</f>
        <v/>
      </c>
      <c r="B137" s="11"/>
      <c r="C137" s="12"/>
      <c r="D137" s="13"/>
      <c r="E137" s="14"/>
      <c r="F137" s="12"/>
      <c r="G137" s="12"/>
      <c r="H137" s="15"/>
      <c r="I137" s="16"/>
      <c r="J137" s="17" t="str">
        <f aca="false">IF(D137="","",HYPERLINK(Settings!$B$7&amp;A137&amp;".pdf","Open "&amp;A137&amp;".pdf"))</f>
        <v/>
      </c>
      <c r="K137" s="16"/>
      <c r="L137" s="12"/>
      <c r="M137" s="12"/>
      <c r="N137" s="15"/>
      <c r="O137" s="15"/>
      <c r="P137" s="12"/>
      <c r="Q137" s="15"/>
      <c r="R137" s="15"/>
      <c r="S137" s="15" t="str">
        <f aca="false">IF(D137="","",IF(AND(O137="Yes",OR(Q137&lt;&gt;"Yes",R137="Yes")),"Complete","Open"))</f>
        <v/>
      </c>
      <c r="T137" s="18" t="str">
        <f aca="false">IF(AND(Q137="Yes",R137&lt;&gt;"Yes"),HYPERLINK("mailto:"&amp;Settings!$B$5&amp;"?subject="&amp;SUBSTITUTE(SUBSTITUTE(SUBSTITUTE(SUBSTITUTE(SUBSTITUTE("Parts quote required - "&amp;D137&amp;" "&amp;E137,"%","%25"),"&amp;","%26")," ","%20"),"#","%23"),CHAR(10),"%0A")&amp;"&amp;body="&amp;SUBSTITUTE(SUBSTITUTE(SUBSTITUTE(SUBSTITUTE(SUBSTITUTE("Ref: "&amp;A137&amp;CHAR(10)&amp;"Customer: "&amp;D137&amp;"  "&amp;E137&amp;CHAR(10)&amp;"Phone: "&amp;F137&amp;CHAR(10)&amp;"Email: "&amp;G137&amp;CHAR(10)&amp;"Prefers: "&amp;H137&amp;CHAR(10)&amp;"Enquiry: "&amp;LEFT(I137,600)&amp;CHAR(10)&amp;CHAR(10)&amp;"Sent from the Preston Mazda enquiry log.","%","%25"),"&amp;","%26")," ","%20"),"#","%23"),CHAR(10),"%0A"),"✉ Email parts"),"")</f>
        <v/>
      </c>
      <c r="U137" s="18" t="str">
        <f aca="false">IF(AND(N137="Yes",O137&lt;&gt;"Yes"),HYPERLINK("mailto:"&amp;Settings!$B$6&amp;"?subject="&amp;SUBSTITUTE(SUBSTITUTE(SUBSTITUTE(SUBSTITUTE(SUBSTITUTE("Customer contact required - "&amp;D137&amp;" "&amp;E137,"%","%25"),"&amp;","%26")," ","%20"),"#","%23"),CHAR(10),"%0A")&amp;"&amp;body="&amp;SUBSTITUTE(SUBSTITUTE(SUBSTITUTE(SUBSTITUTE(SUBSTITUTE("Ref: "&amp;A137&amp;CHAR(10)&amp;"Customer: "&amp;D137&amp;"  "&amp;E137&amp;CHAR(10)&amp;"Phone: "&amp;F137&amp;CHAR(10)&amp;"Email: "&amp;G137&amp;CHAR(10)&amp;"Prefers: "&amp;H137&amp;CHAR(10)&amp;"Enquiry: "&amp;LEFT(I137,600)&amp;CHAR(10)&amp;CHAR(10)&amp;"Sent from the Preston Mazda enquiry log.","%","%25"),"&amp;","%26")," ","%20"),"#","%23"),CHAR(10),"%0A"),"✉ Email advisors"),"")</f>
        <v/>
      </c>
      <c r="V137" s="18" t="str">
        <f aca="false">IF(OR(M137="",IFERROR(INDEX(Staff!$B$4:$B$33,MATCH(M137,Staff!$A$4:$A$33,0)),"")=""),"",HYPERLINK("mailto:"&amp;IFERROR(INDEX(Staff!$B$4:$B$33,MATCH(M137,Staff!$A$4:$A$33,0)),"")&amp;"?subject="&amp;SUBSTITUTE(SUBSTITUTE(SUBSTITUTE(SUBSTITUTE(SUBSTITUTE("Enquiry "&amp;A137&amp;" allocated to you - "&amp;D137,"%","%25"),"&amp;","%26")," ","%20"),"#","%23"),CHAR(10),"%0A")&amp;"&amp;body="&amp;SUBSTITUTE(SUBSTITUTE(SUBSTITUTE(SUBSTITUTE(SUBSTITUTE("Ref: "&amp;A137&amp;CHAR(10)&amp;"Customer: "&amp;D137&amp;"  "&amp;E137&amp;CHAR(10)&amp;"Phone: "&amp;F137&amp;CHAR(10)&amp;"Email: "&amp;G137&amp;CHAR(10)&amp;"Prefers: "&amp;H137&amp;CHAR(10)&amp;"Enquiry: "&amp;LEFT(I137,600)&amp;CHAR(10)&amp;CHAR(10)&amp;"Sent from the Preston Mazda enquiry log.","%","%25"),"&amp;","%26")," ","%20"),"#","%23"),CHAR(10),"%0A"),"✉ Email "&amp;M137))</f>
        <v/>
      </c>
      <c r="W137" s="18" t="str">
        <f aca="false">IF(OR(P137="",IFERROR(INDEX(Staff!$E$4:$E$33,MATCH(P137,Staff!$D$4:$D$33,0)),"")=""),"",HYPERLINK("mailto:"&amp;IFERROR(INDEX(Staff!$E$4:$E$33,MATCH(P137,Staff!$D$4:$D$33,0)),"")&amp;"?subject="&amp;SUBSTITUTE(SUBSTITUTE(SUBSTITUTE(SUBSTITUTE(SUBSTITUTE("Parts quote "&amp;A137&amp;" allocated to you - "&amp;D137,"%","%25"),"&amp;","%26")," ","%20"),"#","%23"),CHAR(10),"%0A")&amp;"&amp;body="&amp;SUBSTITUTE(SUBSTITUTE(SUBSTITUTE(SUBSTITUTE(SUBSTITUTE("Ref: "&amp;A137&amp;CHAR(10)&amp;"Customer: "&amp;D137&amp;"  "&amp;E137&amp;CHAR(10)&amp;"Phone: "&amp;F137&amp;CHAR(10)&amp;"Email: "&amp;G137&amp;CHAR(10)&amp;"Prefers: "&amp;H137&amp;CHAR(10)&amp;"Enquiry: "&amp;LEFT(I137,600)&amp;CHAR(10)&amp;CHAR(10)&amp;"Sent from the Preston Mazda enquiry log.","%","%25"),"&amp;","%26")," ","%20"),"#","%23"),CHAR(10),"%0A"),"✉ Email "&amp;P137))</f>
        <v/>
      </c>
    </row>
    <row r="138" customFormat="false" ht="15" hidden="false" customHeight="false" outlineLevel="0" collapsed="false">
      <c r="A138" s="10" t="str">
        <f aca="false">IF(D138="","","E-"&amp;TEXT(ROW()-3,"0000"))</f>
        <v/>
      </c>
      <c r="B138" s="11"/>
      <c r="C138" s="12"/>
      <c r="D138" s="13"/>
      <c r="E138" s="14"/>
      <c r="F138" s="12"/>
      <c r="G138" s="12"/>
      <c r="H138" s="15"/>
      <c r="I138" s="16"/>
      <c r="J138" s="17" t="str">
        <f aca="false">IF(D138="","",HYPERLINK(Settings!$B$7&amp;A138&amp;".pdf","Open "&amp;A138&amp;".pdf"))</f>
        <v/>
      </c>
      <c r="K138" s="16"/>
      <c r="L138" s="12"/>
      <c r="M138" s="12"/>
      <c r="N138" s="15"/>
      <c r="O138" s="15"/>
      <c r="P138" s="12"/>
      <c r="Q138" s="15"/>
      <c r="R138" s="15"/>
      <c r="S138" s="15" t="str">
        <f aca="false">IF(D138="","",IF(AND(O138="Yes",OR(Q138&lt;&gt;"Yes",R138="Yes")),"Complete","Open"))</f>
        <v/>
      </c>
      <c r="T138" s="18" t="str">
        <f aca="false">IF(AND(Q138="Yes",R138&lt;&gt;"Yes"),HYPERLINK("mailto:"&amp;Settings!$B$5&amp;"?subject="&amp;SUBSTITUTE(SUBSTITUTE(SUBSTITUTE(SUBSTITUTE(SUBSTITUTE("Parts quote required - "&amp;D138&amp;" "&amp;E138,"%","%25"),"&amp;","%26")," ","%20"),"#","%23"),CHAR(10),"%0A")&amp;"&amp;body="&amp;SUBSTITUTE(SUBSTITUTE(SUBSTITUTE(SUBSTITUTE(SUBSTITUTE("Ref: "&amp;A138&amp;CHAR(10)&amp;"Customer: "&amp;D138&amp;"  "&amp;E138&amp;CHAR(10)&amp;"Phone: "&amp;F138&amp;CHAR(10)&amp;"Email: "&amp;G138&amp;CHAR(10)&amp;"Prefers: "&amp;H138&amp;CHAR(10)&amp;"Enquiry: "&amp;LEFT(I138,600)&amp;CHAR(10)&amp;CHAR(10)&amp;"Sent from the Preston Mazda enquiry log.","%","%25"),"&amp;","%26")," ","%20"),"#","%23"),CHAR(10),"%0A"),"✉ Email parts"),"")</f>
        <v/>
      </c>
      <c r="U138" s="18" t="str">
        <f aca="false">IF(AND(N138="Yes",O138&lt;&gt;"Yes"),HYPERLINK("mailto:"&amp;Settings!$B$6&amp;"?subject="&amp;SUBSTITUTE(SUBSTITUTE(SUBSTITUTE(SUBSTITUTE(SUBSTITUTE("Customer contact required - "&amp;D138&amp;" "&amp;E138,"%","%25"),"&amp;","%26")," ","%20"),"#","%23"),CHAR(10),"%0A")&amp;"&amp;body="&amp;SUBSTITUTE(SUBSTITUTE(SUBSTITUTE(SUBSTITUTE(SUBSTITUTE("Ref: "&amp;A138&amp;CHAR(10)&amp;"Customer: "&amp;D138&amp;"  "&amp;E138&amp;CHAR(10)&amp;"Phone: "&amp;F138&amp;CHAR(10)&amp;"Email: "&amp;G138&amp;CHAR(10)&amp;"Prefers: "&amp;H138&amp;CHAR(10)&amp;"Enquiry: "&amp;LEFT(I138,600)&amp;CHAR(10)&amp;CHAR(10)&amp;"Sent from the Preston Mazda enquiry log.","%","%25"),"&amp;","%26")," ","%20"),"#","%23"),CHAR(10),"%0A"),"✉ Email advisors"),"")</f>
        <v/>
      </c>
      <c r="V138" s="18" t="str">
        <f aca="false">IF(OR(M138="",IFERROR(INDEX(Staff!$B$4:$B$33,MATCH(M138,Staff!$A$4:$A$33,0)),"")=""),"",HYPERLINK("mailto:"&amp;IFERROR(INDEX(Staff!$B$4:$B$33,MATCH(M138,Staff!$A$4:$A$33,0)),"")&amp;"?subject="&amp;SUBSTITUTE(SUBSTITUTE(SUBSTITUTE(SUBSTITUTE(SUBSTITUTE("Enquiry "&amp;A138&amp;" allocated to you - "&amp;D138,"%","%25"),"&amp;","%26")," ","%20"),"#","%23"),CHAR(10),"%0A")&amp;"&amp;body="&amp;SUBSTITUTE(SUBSTITUTE(SUBSTITUTE(SUBSTITUTE(SUBSTITUTE("Ref: "&amp;A138&amp;CHAR(10)&amp;"Customer: "&amp;D138&amp;"  "&amp;E138&amp;CHAR(10)&amp;"Phone: "&amp;F138&amp;CHAR(10)&amp;"Email: "&amp;G138&amp;CHAR(10)&amp;"Prefers: "&amp;H138&amp;CHAR(10)&amp;"Enquiry: "&amp;LEFT(I138,600)&amp;CHAR(10)&amp;CHAR(10)&amp;"Sent from the Preston Mazda enquiry log.","%","%25"),"&amp;","%26")," ","%20"),"#","%23"),CHAR(10),"%0A"),"✉ Email "&amp;M138))</f>
        <v/>
      </c>
      <c r="W138" s="18" t="str">
        <f aca="false">IF(OR(P138="",IFERROR(INDEX(Staff!$E$4:$E$33,MATCH(P138,Staff!$D$4:$D$33,0)),"")=""),"",HYPERLINK("mailto:"&amp;IFERROR(INDEX(Staff!$E$4:$E$33,MATCH(P138,Staff!$D$4:$D$33,0)),"")&amp;"?subject="&amp;SUBSTITUTE(SUBSTITUTE(SUBSTITUTE(SUBSTITUTE(SUBSTITUTE("Parts quote "&amp;A138&amp;" allocated to you - "&amp;D138,"%","%25"),"&amp;","%26")," ","%20"),"#","%23"),CHAR(10),"%0A")&amp;"&amp;body="&amp;SUBSTITUTE(SUBSTITUTE(SUBSTITUTE(SUBSTITUTE(SUBSTITUTE("Ref: "&amp;A138&amp;CHAR(10)&amp;"Customer: "&amp;D138&amp;"  "&amp;E138&amp;CHAR(10)&amp;"Phone: "&amp;F138&amp;CHAR(10)&amp;"Email: "&amp;G138&amp;CHAR(10)&amp;"Prefers: "&amp;H138&amp;CHAR(10)&amp;"Enquiry: "&amp;LEFT(I138,600)&amp;CHAR(10)&amp;CHAR(10)&amp;"Sent from the Preston Mazda enquiry log.","%","%25"),"&amp;","%26")," ","%20"),"#","%23"),CHAR(10),"%0A"),"✉ Email "&amp;P138))</f>
        <v/>
      </c>
    </row>
    <row r="139" customFormat="false" ht="15" hidden="false" customHeight="false" outlineLevel="0" collapsed="false">
      <c r="A139" s="10" t="str">
        <f aca="false">IF(D139="","","E-"&amp;TEXT(ROW()-3,"0000"))</f>
        <v/>
      </c>
      <c r="B139" s="11"/>
      <c r="C139" s="12"/>
      <c r="D139" s="13"/>
      <c r="E139" s="14"/>
      <c r="F139" s="12"/>
      <c r="G139" s="12"/>
      <c r="H139" s="15"/>
      <c r="I139" s="16"/>
      <c r="J139" s="17" t="str">
        <f aca="false">IF(D139="","",HYPERLINK(Settings!$B$7&amp;A139&amp;".pdf","Open "&amp;A139&amp;".pdf"))</f>
        <v/>
      </c>
      <c r="K139" s="16"/>
      <c r="L139" s="12"/>
      <c r="M139" s="12"/>
      <c r="N139" s="15"/>
      <c r="O139" s="15"/>
      <c r="P139" s="12"/>
      <c r="Q139" s="15"/>
      <c r="R139" s="15"/>
      <c r="S139" s="15" t="str">
        <f aca="false">IF(D139="","",IF(AND(O139="Yes",OR(Q139&lt;&gt;"Yes",R139="Yes")),"Complete","Open"))</f>
        <v/>
      </c>
      <c r="T139" s="18" t="str">
        <f aca="false">IF(AND(Q139="Yes",R139&lt;&gt;"Yes"),HYPERLINK("mailto:"&amp;Settings!$B$5&amp;"?subject="&amp;SUBSTITUTE(SUBSTITUTE(SUBSTITUTE(SUBSTITUTE(SUBSTITUTE("Parts quote required - "&amp;D139&amp;" "&amp;E139,"%","%25"),"&amp;","%26")," ","%20"),"#","%23"),CHAR(10),"%0A")&amp;"&amp;body="&amp;SUBSTITUTE(SUBSTITUTE(SUBSTITUTE(SUBSTITUTE(SUBSTITUTE("Ref: "&amp;A139&amp;CHAR(10)&amp;"Customer: "&amp;D139&amp;"  "&amp;E139&amp;CHAR(10)&amp;"Phone: "&amp;F139&amp;CHAR(10)&amp;"Email: "&amp;G139&amp;CHAR(10)&amp;"Prefers: "&amp;H139&amp;CHAR(10)&amp;"Enquiry: "&amp;LEFT(I139,600)&amp;CHAR(10)&amp;CHAR(10)&amp;"Sent from the Preston Mazda enquiry log.","%","%25"),"&amp;","%26")," ","%20"),"#","%23"),CHAR(10),"%0A"),"✉ Email parts"),"")</f>
        <v/>
      </c>
      <c r="U139" s="18" t="str">
        <f aca="false">IF(AND(N139="Yes",O139&lt;&gt;"Yes"),HYPERLINK("mailto:"&amp;Settings!$B$6&amp;"?subject="&amp;SUBSTITUTE(SUBSTITUTE(SUBSTITUTE(SUBSTITUTE(SUBSTITUTE("Customer contact required - "&amp;D139&amp;" "&amp;E139,"%","%25"),"&amp;","%26")," ","%20"),"#","%23"),CHAR(10),"%0A")&amp;"&amp;body="&amp;SUBSTITUTE(SUBSTITUTE(SUBSTITUTE(SUBSTITUTE(SUBSTITUTE("Ref: "&amp;A139&amp;CHAR(10)&amp;"Customer: "&amp;D139&amp;"  "&amp;E139&amp;CHAR(10)&amp;"Phone: "&amp;F139&amp;CHAR(10)&amp;"Email: "&amp;G139&amp;CHAR(10)&amp;"Prefers: "&amp;H139&amp;CHAR(10)&amp;"Enquiry: "&amp;LEFT(I139,600)&amp;CHAR(10)&amp;CHAR(10)&amp;"Sent from the Preston Mazda enquiry log.","%","%25"),"&amp;","%26")," ","%20"),"#","%23"),CHAR(10),"%0A"),"✉ Email advisors"),"")</f>
        <v/>
      </c>
      <c r="V139" s="18" t="str">
        <f aca="false">IF(OR(M139="",IFERROR(INDEX(Staff!$B$4:$B$33,MATCH(M139,Staff!$A$4:$A$33,0)),"")=""),"",HYPERLINK("mailto:"&amp;IFERROR(INDEX(Staff!$B$4:$B$33,MATCH(M139,Staff!$A$4:$A$33,0)),"")&amp;"?subject="&amp;SUBSTITUTE(SUBSTITUTE(SUBSTITUTE(SUBSTITUTE(SUBSTITUTE("Enquiry "&amp;A139&amp;" allocated to you - "&amp;D139,"%","%25"),"&amp;","%26")," ","%20"),"#","%23"),CHAR(10),"%0A")&amp;"&amp;body="&amp;SUBSTITUTE(SUBSTITUTE(SUBSTITUTE(SUBSTITUTE(SUBSTITUTE("Ref: "&amp;A139&amp;CHAR(10)&amp;"Customer: "&amp;D139&amp;"  "&amp;E139&amp;CHAR(10)&amp;"Phone: "&amp;F139&amp;CHAR(10)&amp;"Email: "&amp;G139&amp;CHAR(10)&amp;"Prefers: "&amp;H139&amp;CHAR(10)&amp;"Enquiry: "&amp;LEFT(I139,600)&amp;CHAR(10)&amp;CHAR(10)&amp;"Sent from the Preston Mazda enquiry log.","%","%25"),"&amp;","%26")," ","%20"),"#","%23"),CHAR(10),"%0A"),"✉ Email "&amp;M139))</f>
        <v/>
      </c>
      <c r="W139" s="18" t="str">
        <f aca="false">IF(OR(P139="",IFERROR(INDEX(Staff!$E$4:$E$33,MATCH(P139,Staff!$D$4:$D$33,0)),"")=""),"",HYPERLINK("mailto:"&amp;IFERROR(INDEX(Staff!$E$4:$E$33,MATCH(P139,Staff!$D$4:$D$33,0)),"")&amp;"?subject="&amp;SUBSTITUTE(SUBSTITUTE(SUBSTITUTE(SUBSTITUTE(SUBSTITUTE("Parts quote "&amp;A139&amp;" allocated to you - "&amp;D139,"%","%25"),"&amp;","%26")," ","%20"),"#","%23"),CHAR(10),"%0A")&amp;"&amp;body="&amp;SUBSTITUTE(SUBSTITUTE(SUBSTITUTE(SUBSTITUTE(SUBSTITUTE("Ref: "&amp;A139&amp;CHAR(10)&amp;"Customer: "&amp;D139&amp;"  "&amp;E139&amp;CHAR(10)&amp;"Phone: "&amp;F139&amp;CHAR(10)&amp;"Email: "&amp;G139&amp;CHAR(10)&amp;"Prefers: "&amp;H139&amp;CHAR(10)&amp;"Enquiry: "&amp;LEFT(I139,600)&amp;CHAR(10)&amp;CHAR(10)&amp;"Sent from the Preston Mazda enquiry log.","%","%25"),"&amp;","%26")," ","%20"),"#","%23"),CHAR(10),"%0A"),"✉ Email "&amp;P139))</f>
        <v/>
      </c>
    </row>
    <row r="140" customFormat="false" ht="15" hidden="false" customHeight="false" outlineLevel="0" collapsed="false">
      <c r="A140" s="10" t="str">
        <f aca="false">IF(D140="","","E-"&amp;TEXT(ROW()-3,"0000"))</f>
        <v/>
      </c>
      <c r="B140" s="11"/>
      <c r="C140" s="12"/>
      <c r="D140" s="13"/>
      <c r="E140" s="14"/>
      <c r="F140" s="12"/>
      <c r="G140" s="12"/>
      <c r="H140" s="15"/>
      <c r="I140" s="16"/>
      <c r="J140" s="17" t="str">
        <f aca="false">IF(D140="","",HYPERLINK(Settings!$B$7&amp;A140&amp;".pdf","Open "&amp;A140&amp;".pdf"))</f>
        <v/>
      </c>
      <c r="K140" s="16"/>
      <c r="L140" s="12"/>
      <c r="M140" s="12"/>
      <c r="N140" s="15"/>
      <c r="O140" s="15"/>
      <c r="P140" s="12"/>
      <c r="Q140" s="15"/>
      <c r="R140" s="15"/>
      <c r="S140" s="15" t="str">
        <f aca="false">IF(D140="","",IF(AND(O140="Yes",OR(Q140&lt;&gt;"Yes",R140="Yes")),"Complete","Open"))</f>
        <v/>
      </c>
      <c r="T140" s="18" t="str">
        <f aca="false">IF(AND(Q140="Yes",R140&lt;&gt;"Yes"),HYPERLINK("mailto:"&amp;Settings!$B$5&amp;"?subject="&amp;SUBSTITUTE(SUBSTITUTE(SUBSTITUTE(SUBSTITUTE(SUBSTITUTE("Parts quote required - "&amp;D140&amp;" "&amp;E140,"%","%25"),"&amp;","%26")," ","%20"),"#","%23"),CHAR(10),"%0A")&amp;"&amp;body="&amp;SUBSTITUTE(SUBSTITUTE(SUBSTITUTE(SUBSTITUTE(SUBSTITUTE("Ref: "&amp;A140&amp;CHAR(10)&amp;"Customer: "&amp;D140&amp;"  "&amp;E140&amp;CHAR(10)&amp;"Phone: "&amp;F140&amp;CHAR(10)&amp;"Email: "&amp;G140&amp;CHAR(10)&amp;"Prefers: "&amp;H140&amp;CHAR(10)&amp;"Enquiry: "&amp;LEFT(I140,600)&amp;CHAR(10)&amp;CHAR(10)&amp;"Sent from the Preston Mazda enquiry log.","%","%25"),"&amp;","%26")," ","%20"),"#","%23"),CHAR(10),"%0A"),"✉ Email parts"),"")</f>
        <v/>
      </c>
      <c r="U140" s="18" t="str">
        <f aca="false">IF(AND(N140="Yes",O140&lt;&gt;"Yes"),HYPERLINK("mailto:"&amp;Settings!$B$6&amp;"?subject="&amp;SUBSTITUTE(SUBSTITUTE(SUBSTITUTE(SUBSTITUTE(SUBSTITUTE("Customer contact required - "&amp;D140&amp;" "&amp;E140,"%","%25"),"&amp;","%26")," ","%20"),"#","%23"),CHAR(10),"%0A")&amp;"&amp;body="&amp;SUBSTITUTE(SUBSTITUTE(SUBSTITUTE(SUBSTITUTE(SUBSTITUTE("Ref: "&amp;A140&amp;CHAR(10)&amp;"Customer: "&amp;D140&amp;"  "&amp;E140&amp;CHAR(10)&amp;"Phone: "&amp;F140&amp;CHAR(10)&amp;"Email: "&amp;G140&amp;CHAR(10)&amp;"Prefers: "&amp;H140&amp;CHAR(10)&amp;"Enquiry: "&amp;LEFT(I140,600)&amp;CHAR(10)&amp;CHAR(10)&amp;"Sent from the Preston Mazda enquiry log.","%","%25"),"&amp;","%26")," ","%20"),"#","%23"),CHAR(10),"%0A"),"✉ Email advisors"),"")</f>
        <v/>
      </c>
      <c r="V140" s="18" t="str">
        <f aca="false">IF(OR(M140="",IFERROR(INDEX(Staff!$B$4:$B$33,MATCH(M140,Staff!$A$4:$A$33,0)),"")=""),"",HYPERLINK("mailto:"&amp;IFERROR(INDEX(Staff!$B$4:$B$33,MATCH(M140,Staff!$A$4:$A$33,0)),"")&amp;"?subject="&amp;SUBSTITUTE(SUBSTITUTE(SUBSTITUTE(SUBSTITUTE(SUBSTITUTE("Enquiry "&amp;A140&amp;" allocated to you - "&amp;D140,"%","%25"),"&amp;","%26")," ","%20"),"#","%23"),CHAR(10),"%0A")&amp;"&amp;body="&amp;SUBSTITUTE(SUBSTITUTE(SUBSTITUTE(SUBSTITUTE(SUBSTITUTE("Ref: "&amp;A140&amp;CHAR(10)&amp;"Customer: "&amp;D140&amp;"  "&amp;E140&amp;CHAR(10)&amp;"Phone: "&amp;F140&amp;CHAR(10)&amp;"Email: "&amp;G140&amp;CHAR(10)&amp;"Prefers: "&amp;H140&amp;CHAR(10)&amp;"Enquiry: "&amp;LEFT(I140,600)&amp;CHAR(10)&amp;CHAR(10)&amp;"Sent from the Preston Mazda enquiry log.","%","%25"),"&amp;","%26")," ","%20"),"#","%23"),CHAR(10),"%0A"),"✉ Email "&amp;M140))</f>
        <v/>
      </c>
      <c r="W140" s="18" t="str">
        <f aca="false">IF(OR(P140="",IFERROR(INDEX(Staff!$E$4:$E$33,MATCH(P140,Staff!$D$4:$D$33,0)),"")=""),"",HYPERLINK("mailto:"&amp;IFERROR(INDEX(Staff!$E$4:$E$33,MATCH(P140,Staff!$D$4:$D$33,0)),"")&amp;"?subject="&amp;SUBSTITUTE(SUBSTITUTE(SUBSTITUTE(SUBSTITUTE(SUBSTITUTE("Parts quote "&amp;A140&amp;" allocated to you - "&amp;D140,"%","%25"),"&amp;","%26")," ","%20"),"#","%23"),CHAR(10),"%0A")&amp;"&amp;body="&amp;SUBSTITUTE(SUBSTITUTE(SUBSTITUTE(SUBSTITUTE(SUBSTITUTE("Ref: "&amp;A140&amp;CHAR(10)&amp;"Customer: "&amp;D140&amp;"  "&amp;E140&amp;CHAR(10)&amp;"Phone: "&amp;F140&amp;CHAR(10)&amp;"Email: "&amp;G140&amp;CHAR(10)&amp;"Prefers: "&amp;H140&amp;CHAR(10)&amp;"Enquiry: "&amp;LEFT(I140,600)&amp;CHAR(10)&amp;CHAR(10)&amp;"Sent from the Preston Mazda enquiry log.","%","%25"),"&amp;","%26")," ","%20"),"#","%23"),CHAR(10),"%0A"),"✉ Email "&amp;P140))</f>
        <v/>
      </c>
    </row>
    <row r="141" customFormat="false" ht="15" hidden="false" customHeight="false" outlineLevel="0" collapsed="false">
      <c r="A141" s="10" t="str">
        <f aca="false">IF(D141="","","E-"&amp;TEXT(ROW()-3,"0000"))</f>
        <v/>
      </c>
      <c r="B141" s="11"/>
      <c r="C141" s="12"/>
      <c r="D141" s="13"/>
      <c r="E141" s="14"/>
      <c r="F141" s="12"/>
      <c r="G141" s="12"/>
      <c r="H141" s="15"/>
      <c r="I141" s="16"/>
      <c r="J141" s="17" t="str">
        <f aca="false">IF(D141="","",HYPERLINK(Settings!$B$7&amp;A141&amp;".pdf","Open "&amp;A141&amp;".pdf"))</f>
        <v/>
      </c>
      <c r="K141" s="16"/>
      <c r="L141" s="12"/>
      <c r="M141" s="12"/>
      <c r="N141" s="15"/>
      <c r="O141" s="15"/>
      <c r="P141" s="12"/>
      <c r="Q141" s="15"/>
      <c r="R141" s="15"/>
      <c r="S141" s="15" t="str">
        <f aca="false">IF(D141="","",IF(AND(O141="Yes",OR(Q141&lt;&gt;"Yes",R141="Yes")),"Complete","Open"))</f>
        <v/>
      </c>
      <c r="T141" s="18" t="str">
        <f aca="false">IF(AND(Q141="Yes",R141&lt;&gt;"Yes"),HYPERLINK("mailto:"&amp;Settings!$B$5&amp;"?subject="&amp;SUBSTITUTE(SUBSTITUTE(SUBSTITUTE(SUBSTITUTE(SUBSTITUTE("Parts quote required - "&amp;D141&amp;" "&amp;E141,"%","%25"),"&amp;","%26")," ","%20"),"#","%23"),CHAR(10),"%0A")&amp;"&amp;body="&amp;SUBSTITUTE(SUBSTITUTE(SUBSTITUTE(SUBSTITUTE(SUBSTITUTE("Ref: "&amp;A141&amp;CHAR(10)&amp;"Customer: "&amp;D141&amp;"  "&amp;E141&amp;CHAR(10)&amp;"Phone: "&amp;F141&amp;CHAR(10)&amp;"Email: "&amp;G141&amp;CHAR(10)&amp;"Prefers: "&amp;H141&amp;CHAR(10)&amp;"Enquiry: "&amp;LEFT(I141,600)&amp;CHAR(10)&amp;CHAR(10)&amp;"Sent from the Preston Mazda enquiry log.","%","%25"),"&amp;","%26")," ","%20"),"#","%23"),CHAR(10),"%0A"),"✉ Email parts"),"")</f>
        <v/>
      </c>
      <c r="U141" s="18" t="str">
        <f aca="false">IF(AND(N141="Yes",O141&lt;&gt;"Yes"),HYPERLINK("mailto:"&amp;Settings!$B$6&amp;"?subject="&amp;SUBSTITUTE(SUBSTITUTE(SUBSTITUTE(SUBSTITUTE(SUBSTITUTE("Customer contact required - "&amp;D141&amp;" "&amp;E141,"%","%25"),"&amp;","%26")," ","%20"),"#","%23"),CHAR(10),"%0A")&amp;"&amp;body="&amp;SUBSTITUTE(SUBSTITUTE(SUBSTITUTE(SUBSTITUTE(SUBSTITUTE("Ref: "&amp;A141&amp;CHAR(10)&amp;"Customer: "&amp;D141&amp;"  "&amp;E141&amp;CHAR(10)&amp;"Phone: "&amp;F141&amp;CHAR(10)&amp;"Email: "&amp;G141&amp;CHAR(10)&amp;"Prefers: "&amp;H141&amp;CHAR(10)&amp;"Enquiry: "&amp;LEFT(I141,600)&amp;CHAR(10)&amp;CHAR(10)&amp;"Sent from the Preston Mazda enquiry log.","%","%25"),"&amp;","%26")," ","%20"),"#","%23"),CHAR(10),"%0A"),"✉ Email advisors"),"")</f>
        <v/>
      </c>
      <c r="V141" s="18" t="str">
        <f aca="false">IF(OR(M141="",IFERROR(INDEX(Staff!$B$4:$B$33,MATCH(M141,Staff!$A$4:$A$33,0)),"")=""),"",HYPERLINK("mailto:"&amp;IFERROR(INDEX(Staff!$B$4:$B$33,MATCH(M141,Staff!$A$4:$A$33,0)),"")&amp;"?subject="&amp;SUBSTITUTE(SUBSTITUTE(SUBSTITUTE(SUBSTITUTE(SUBSTITUTE("Enquiry "&amp;A141&amp;" allocated to you - "&amp;D141,"%","%25"),"&amp;","%26")," ","%20"),"#","%23"),CHAR(10),"%0A")&amp;"&amp;body="&amp;SUBSTITUTE(SUBSTITUTE(SUBSTITUTE(SUBSTITUTE(SUBSTITUTE("Ref: "&amp;A141&amp;CHAR(10)&amp;"Customer: "&amp;D141&amp;"  "&amp;E141&amp;CHAR(10)&amp;"Phone: "&amp;F141&amp;CHAR(10)&amp;"Email: "&amp;G141&amp;CHAR(10)&amp;"Prefers: "&amp;H141&amp;CHAR(10)&amp;"Enquiry: "&amp;LEFT(I141,600)&amp;CHAR(10)&amp;CHAR(10)&amp;"Sent from the Preston Mazda enquiry log.","%","%25"),"&amp;","%26")," ","%20"),"#","%23"),CHAR(10),"%0A"),"✉ Email "&amp;M141))</f>
        <v/>
      </c>
      <c r="W141" s="18" t="str">
        <f aca="false">IF(OR(P141="",IFERROR(INDEX(Staff!$E$4:$E$33,MATCH(P141,Staff!$D$4:$D$33,0)),"")=""),"",HYPERLINK("mailto:"&amp;IFERROR(INDEX(Staff!$E$4:$E$33,MATCH(P141,Staff!$D$4:$D$33,0)),"")&amp;"?subject="&amp;SUBSTITUTE(SUBSTITUTE(SUBSTITUTE(SUBSTITUTE(SUBSTITUTE("Parts quote "&amp;A141&amp;" allocated to you - "&amp;D141,"%","%25"),"&amp;","%26")," ","%20"),"#","%23"),CHAR(10),"%0A")&amp;"&amp;body="&amp;SUBSTITUTE(SUBSTITUTE(SUBSTITUTE(SUBSTITUTE(SUBSTITUTE("Ref: "&amp;A141&amp;CHAR(10)&amp;"Customer: "&amp;D141&amp;"  "&amp;E141&amp;CHAR(10)&amp;"Phone: "&amp;F141&amp;CHAR(10)&amp;"Email: "&amp;G141&amp;CHAR(10)&amp;"Prefers: "&amp;H141&amp;CHAR(10)&amp;"Enquiry: "&amp;LEFT(I141,600)&amp;CHAR(10)&amp;CHAR(10)&amp;"Sent from the Preston Mazda enquiry log.","%","%25"),"&amp;","%26")," ","%20"),"#","%23"),CHAR(10),"%0A"),"✉ Email "&amp;P141))</f>
        <v/>
      </c>
    </row>
    <row r="142" customFormat="false" ht="15" hidden="false" customHeight="false" outlineLevel="0" collapsed="false">
      <c r="A142" s="10" t="str">
        <f aca="false">IF(D142="","","E-"&amp;TEXT(ROW()-3,"0000"))</f>
        <v/>
      </c>
      <c r="B142" s="11"/>
      <c r="C142" s="12"/>
      <c r="D142" s="13"/>
      <c r="E142" s="14"/>
      <c r="F142" s="12"/>
      <c r="G142" s="12"/>
      <c r="H142" s="15"/>
      <c r="I142" s="16"/>
      <c r="J142" s="17" t="str">
        <f aca="false">IF(D142="","",HYPERLINK(Settings!$B$7&amp;A142&amp;".pdf","Open "&amp;A142&amp;".pdf"))</f>
        <v/>
      </c>
      <c r="K142" s="16"/>
      <c r="L142" s="12"/>
      <c r="M142" s="12"/>
      <c r="N142" s="15"/>
      <c r="O142" s="15"/>
      <c r="P142" s="12"/>
      <c r="Q142" s="15"/>
      <c r="R142" s="15"/>
      <c r="S142" s="15" t="str">
        <f aca="false">IF(D142="","",IF(AND(O142="Yes",OR(Q142&lt;&gt;"Yes",R142="Yes")),"Complete","Open"))</f>
        <v/>
      </c>
      <c r="T142" s="18" t="str">
        <f aca="false">IF(AND(Q142="Yes",R142&lt;&gt;"Yes"),HYPERLINK("mailto:"&amp;Settings!$B$5&amp;"?subject="&amp;SUBSTITUTE(SUBSTITUTE(SUBSTITUTE(SUBSTITUTE(SUBSTITUTE("Parts quote required - "&amp;D142&amp;" "&amp;E142,"%","%25"),"&amp;","%26")," ","%20"),"#","%23"),CHAR(10),"%0A")&amp;"&amp;body="&amp;SUBSTITUTE(SUBSTITUTE(SUBSTITUTE(SUBSTITUTE(SUBSTITUTE("Ref: "&amp;A142&amp;CHAR(10)&amp;"Customer: "&amp;D142&amp;"  "&amp;E142&amp;CHAR(10)&amp;"Phone: "&amp;F142&amp;CHAR(10)&amp;"Email: "&amp;G142&amp;CHAR(10)&amp;"Prefers: "&amp;H142&amp;CHAR(10)&amp;"Enquiry: "&amp;LEFT(I142,600)&amp;CHAR(10)&amp;CHAR(10)&amp;"Sent from the Preston Mazda enquiry log.","%","%25"),"&amp;","%26")," ","%20"),"#","%23"),CHAR(10),"%0A"),"✉ Email parts"),"")</f>
        <v/>
      </c>
      <c r="U142" s="18" t="str">
        <f aca="false">IF(AND(N142="Yes",O142&lt;&gt;"Yes"),HYPERLINK("mailto:"&amp;Settings!$B$6&amp;"?subject="&amp;SUBSTITUTE(SUBSTITUTE(SUBSTITUTE(SUBSTITUTE(SUBSTITUTE("Customer contact required - "&amp;D142&amp;" "&amp;E142,"%","%25"),"&amp;","%26")," ","%20"),"#","%23"),CHAR(10),"%0A")&amp;"&amp;body="&amp;SUBSTITUTE(SUBSTITUTE(SUBSTITUTE(SUBSTITUTE(SUBSTITUTE("Ref: "&amp;A142&amp;CHAR(10)&amp;"Customer: "&amp;D142&amp;"  "&amp;E142&amp;CHAR(10)&amp;"Phone: "&amp;F142&amp;CHAR(10)&amp;"Email: "&amp;G142&amp;CHAR(10)&amp;"Prefers: "&amp;H142&amp;CHAR(10)&amp;"Enquiry: "&amp;LEFT(I142,600)&amp;CHAR(10)&amp;CHAR(10)&amp;"Sent from the Preston Mazda enquiry log.","%","%25"),"&amp;","%26")," ","%20"),"#","%23"),CHAR(10),"%0A"),"✉ Email advisors"),"")</f>
        <v/>
      </c>
      <c r="V142" s="18" t="str">
        <f aca="false">IF(OR(M142="",IFERROR(INDEX(Staff!$B$4:$B$33,MATCH(M142,Staff!$A$4:$A$33,0)),"")=""),"",HYPERLINK("mailto:"&amp;IFERROR(INDEX(Staff!$B$4:$B$33,MATCH(M142,Staff!$A$4:$A$33,0)),"")&amp;"?subject="&amp;SUBSTITUTE(SUBSTITUTE(SUBSTITUTE(SUBSTITUTE(SUBSTITUTE("Enquiry "&amp;A142&amp;" allocated to you - "&amp;D142,"%","%25"),"&amp;","%26")," ","%20"),"#","%23"),CHAR(10),"%0A")&amp;"&amp;body="&amp;SUBSTITUTE(SUBSTITUTE(SUBSTITUTE(SUBSTITUTE(SUBSTITUTE("Ref: "&amp;A142&amp;CHAR(10)&amp;"Customer: "&amp;D142&amp;"  "&amp;E142&amp;CHAR(10)&amp;"Phone: "&amp;F142&amp;CHAR(10)&amp;"Email: "&amp;G142&amp;CHAR(10)&amp;"Prefers: "&amp;H142&amp;CHAR(10)&amp;"Enquiry: "&amp;LEFT(I142,600)&amp;CHAR(10)&amp;CHAR(10)&amp;"Sent from the Preston Mazda enquiry log.","%","%25"),"&amp;","%26")," ","%20"),"#","%23"),CHAR(10),"%0A"),"✉ Email "&amp;M142))</f>
        <v/>
      </c>
      <c r="W142" s="18" t="str">
        <f aca="false">IF(OR(P142="",IFERROR(INDEX(Staff!$E$4:$E$33,MATCH(P142,Staff!$D$4:$D$33,0)),"")=""),"",HYPERLINK("mailto:"&amp;IFERROR(INDEX(Staff!$E$4:$E$33,MATCH(P142,Staff!$D$4:$D$33,0)),"")&amp;"?subject="&amp;SUBSTITUTE(SUBSTITUTE(SUBSTITUTE(SUBSTITUTE(SUBSTITUTE("Parts quote "&amp;A142&amp;" allocated to you - "&amp;D142,"%","%25"),"&amp;","%26")," ","%20"),"#","%23"),CHAR(10),"%0A")&amp;"&amp;body="&amp;SUBSTITUTE(SUBSTITUTE(SUBSTITUTE(SUBSTITUTE(SUBSTITUTE("Ref: "&amp;A142&amp;CHAR(10)&amp;"Customer: "&amp;D142&amp;"  "&amp;E142&amp;CHAR(10)&amp;"Phone: "&amp;F142&amp;CHAR(10)&amp;"Email: "&amp;G142&amp;CHAR(10)&amp;"Prefers: "&amp;H142&amp;CHAR(10)&amp;"Enquiry: "&amp;LEFT(I142,600)&amp;CHAR(10)&amp;CHAR(10)&amp;"Sent from the Preston Mazda enquiry log.","%","%25"),"&amp;","%26")," ","%20"),"#","%23"),CHAR(10),"%0A"),"✉ Email "&amp;P142))</f>
        <v/>
      </c>
    </row>
    <row r="143" customFormat="false" ht="15" hidden="false" customHeight="false" outlineLevel="0" collapsed="false">
      <c r="A143" s="10" t="str">
        <f aca="false">IF(D143="","","E-"&amp;TEXT(ROW()-3,"0000"))</f>
        <v/>
      </c>
      <c r="B143" s="11"/>
      <c r="C143" s="12"/>
      <c r="D143" s="13"/>
      <c r="E143" s="14"/>
      <c r="F143" s="12"/>
      <c r="G143" s="12"/>
      <c r="H143" s="15"/>
      <c r="I143" s="16"/>
      <c r="J143" s="17" t="str">
        <f aca="false">IF(D143="","",HYPERLINK(Settings!$B$7&amp;A143&amp;".pdf","Open "&amp;A143&amp;".pdf"))</f>
        <v/>
      </c>
      <c r="K143" s="16"/>
      <c r="L143" s="12"/>
      <c r="M143" s="12"/>
      <c r="N143" s="15"/>
      <c r="O143" s="15"/>
      <c r="P143" s="12"/>
      <c r="Q143" s="15"/>
      <c r="R143" s="15"/>
      <c r="S143" s="15" t="str">
        <f aca="false">IF(D143="","",IF(AND(O143="Yes",OR(Q143&lt;&gt;"Yes",R143="Yes")),"Complete","Open"))</f>
        <v/>
      </c>
      <c r="T143" s="18" t="str">
        <f aca="false">IF(AND(Q143="Yes",R143&lt;&gt;"Yes"),HYPERLINK("mailto:"&amp;Settings!$B$5&amp;"?subject="&amp;SUBSTITUTE(SUBSTITUTE(SUBSTITUTE(SUBSTITUTE(SUBSTITUTE("Parts quote required - "&amp;D143&amp;" "&amp;E143,"%","%25"),"&amp;","%26")," ","%20"),"#","%23"),CHAR(10),"%0A")&amp;"&amp;body="&amp;SUBSTITUTE(SUBSTITUTE(SUBSTITUTE(SUBSTITUTE(SUBSTITUTE("Ref: "&amp;A143&amp;CHAR(10)&amp;"Customer: "&amp;D143&amp;"  "&amp;E143&amp;CHAR(10)&amp;"Phone: "&amp;F143&amp;CHAR(10)&amp;"Email: "&amp;G143&amp;CHAR(10)&amp;"Prefers: "&amp;H143&amp;CHAR(10)&amp;"Enquiry: "&amp;LEFT(I143,600)&amp;CHAR(10)&amp;CHAR(10)&amp;"Sent from the Preston Mazda enquiry log.","%","%25"),"&amp;","%26")," ","%20"),"#","%23"),CHAR(10),"%0A"),"✉ Email parts"),"")</f>
        <v/>
      </c>
      <c r="U143" s="18" t="str">
        <f aca="false">IF(AND(N143="Yes",O143&lt;&gt;"Yes"),HYPERLINK("mailto:"&amp;Settings!$B$6&amp;"?subject="&amp;SUBSTITUTE(SUBSTITUTE(SUBSTITUTE(SUBSTITUTE(SUBSTITUTE("Customer contact required - "&amp;D143&amp;" "&amp;E143,"%","%25"),"&amp;","%26")," ","%20"),"#","%23"),CHAR(10),"%0A")&amp;"&amp;body="&amp;SUBSTITUTE(SUBSTITUTE(SUBSTITUTE(SUBSTITUTE(SUBSTITUTE("Ref: "&amp;A143&amp;CHAR(10)&amp;"Customer: "&amp;D143&amp;"  "&amp;E143&amp;CHAR(10)&amp;"Phone: "&amp;F143&amp;CHAR(10)&amp;"Email: "&amp;G143&amp;CHAR(10)&amp;"Prefers: "&amp;H143&amp;CHAR(10)&amp;"Enquiry: "&amp;LEFT(I143,600)&amp;CHAR(10)&amp;CHAR(10)&amp;"Sent from the Preston Mazda enquiry log.","%","%25"),"&amp;","%26")," ","%20"),"#","%23"),CHAR(10),"%0A"),"✉ Email advisors"),"")</f>
        <v/>
      </c>
      <c r="V143" s="18" t="str">
        <f aca="false">IF(OR(M143="",IFERROR(INDEX(Staff!$B$4:$B$33,MATCH(M143,Staff!$A$4:$A$33,0)),"")=""),"",HYPERLINK("mailto:"&amp;IFERROR(INDEX(Staff!$B$4:$B$33,MATCH(M143,Staff!$A$4:$A$33,0)),"")&amp;"?subject="&amp;SUBSTITUTE(SUBSTITUTE(SUBSTITUTE(SUBSTITUTE(SUBSTITUTE("Enquiry "&amp;A143&amp;" allocated to you - "&amp;D143,"%","%25"),"&amp;","%26")," ","%20"),"#","%23"),CHAR(10),"%0A")&amp;"&amp;body="&amp;SUBSTITUTE(SUBSTITUTE(SUBSTITUTE(SUBSTITUTE(SUBSTITUTE("Ref: "&amp;A143&amp;CHAR(10)&amp;"Customer: "&amp;D143&amp;"  "&amp;E143&amp;CHAR(10)&amp;"Phone: "&amp;F143&amp;CHAR(10)&amp;"Email: "&amp;G143&amp;CHAR(10)&amp;"Prefers: "&amp;H143&amp;CHAR(10)&amp;"Enquiry: "&amp;LEFT(I143,600)&amp;CHAR(10)&amp;CHAR(10)&amp;"Sent from the Preston Mazda enquiry log.","%","%25"),"&amp;","%26")," ","%20"),"#","%23"),CHAR(10),"%0A"),"✉ Email "&amp;M143))</f>
        <v/>
      </c>
      <c r="W143" s="18" t="str">
        <f aca="false">IF(OR(P143="",IFERROR(INDEX(Staff!$E$4:$E$33,MATCH(P143,Staff!$D$4:$D$33,0)),"")=""),"",HYPERLINK("mailto:"&amp;IFERROR(INDEX(Staff!$E$4:$E$33,MATCH(P143,Staff!$D$4:$D$33,0)),"")&amp;"?subject="&amp;SUBSTITUTE(SUBSTITUTE(SUBSTITUTE(SUBSTITUTE(SUBSTITUTE("Parts quote "&amp;A143&amp;" allocated to you - "&amp;D143,"%","%25"),"&amp;","%26")," ","%20"),"#","%23"),CHAR(10),"%0A")&amp;"&amp;body="&amp;SUBSTITUTE(SUBSTITUTE(SUBSTITUTE(SUBSTITUTE(SUBSTITUTE("Ref: "&amp;A143&amp;CHAR(10)&amp;"Customer: "&amp;D143&amp;"  "&amp;E143&amp;CHAR(10)&amp;"Phone: "&amp;F143&amp;CHAR(10)&amp;"Email: "&amp;G143&amp;CHAR(10)&amp;"Prefers: "&amp;H143&amp;CHAR(10)&amp;"Enquiry: "&amp;LEFT(I143,600)&amp;CHAR(10)&amp;CHAR(10)&amp;"Sent from the Preston Mazda enquiry log.","%","%25"),"&amp;","%26")," ","%20"),"#","%23"),CHAR(10),"%0A"),"✉ Email "&amp;P143))</f>
        <v/>
      </c>
    </row>
    <row r="144" customFormat="false" ht="15" hidden="false" customHeight="false" outlineLevel="0" collapsed="false">
      <c r="A144" s="10" t="str">
        <f aca="false">IF(D144="","","E-"&amp;TEXT(ROW()-3,"0000"))</f>
        <v/>
      </c>
      <c r="B144" s="11"/>
      <c r="C144" s="12"/>
      <c r="D144" s="13"/>
      <c r="E144" s="14"/>
      <c r="F144" s="12"/>
      <c r="G144" s="12"/>
      <c r="H144" s="15"/>
      <c r="I144" s="16"/>
      <c r="J144" s="17" t="str">
        <f aca="false">IF(D144="","",HYPERLINK(Settings!$B$7&amp;A144&amp;".pdf","Open "&amp;A144&amp;".pdf"))</f>
        <v/>
      </c>
      <c r="K144" s="16"/>
      <c r="L144" s="12"/>
      <c r="M144" s="12"/>
      <c r="N144" s="15"/>
      <c r="O144" s="15"/>
      <c r="P144" s="12"/>
      <c r="Q144" s="15"/>
      <c r="R144" s="15"/>
      <c r="S144" s="15" t="str">
        <f aca="false">IF(D144="","",IF(AND(O144="Yes",OR(Q144&lt;&gt;"Yes",R144="Yes")),"Complete","Open"))</f>
        <v/>
      </c>
      <c r="T144" s="18" t="str">
        <f aca="false">IF(AND(Q144="Yes",R144&lt;&gt;"Yes"),HYPERLINK("mailto:"&amp;Settings!$B$5&amp;"?subject="&amp;SUBSTITUTE(SUBSTITUTE(SUBSTITUTE(SUBSTITUTE(SUBSTITUTE("Parts quote required - "&amp;D144&amp;" "&amp;E144,"%","%25"),"&amp;","%26")," ","%20"),"#","%23"),CHAR(10),"%0A")&amp;"&amp;body="&amp;SUBSTITUTE(SUBSTITUTE(SUBSTITUTE(SUBSTITUTE(SUBSTITUTE("Ref: "&amp;A144&amp;CHAR(10)&amp;"Customer: "&amp;D144&amp;"  "&amp;E144&amp;CHAR(10)&amp;"Phone: "&amp;F144&amp;CHAR(10)&amp;"Email: "&amp;G144&amp;CHAR(10)&amp;"Prefers: "&amp;H144&amp;CHAR(10)&amp;"Enquiry: "&amp;LEFT(I144,600)&amp;CHAR(10)&amp;CHAR(10)&amp;"Sent from the Preston Mazda enquiry log.","%","%25"),"&amp;","%26")," ","%20"),"#","%23"),CHAR(10),"%0A"),"✉ Email parts"),"")</f>
        <v/>
      </c>
      <c r="U144" s="18" t="str">
        <f aca="false">IF(AND(N144="Yes",O144&lt;&gt;"Yes"),HYPERLINK("mailto:"&amp;Settings!$B$6&amp;"?subject="&amp;SUBSTITUTE(SUBSTITUTE(SUBSTITUTE(SUBSTITUTE(SUBSTITUTE("Customer contact required - "&amp;D144&amp;" "&amp;E144,"%","%25"),"&amp;","%26")," ","%20"),"#","%23"),CHAR(10),"%0A")&amp;"&amp;body="&amp;SUBSTITUTE(SUBSTITUTE(SUBSTITUTE(SUBSTITUTE(SUBSTITUTE("Ref: "&amp;A144&amp;CHAR(10)&amp;"Customer: "&amp;D144&amp;"  "&amp;E144&amp;CHAR(10)&amp;"Phone: "&amp;F144&amp;CHAR(10)&amp;"Email: "&amp;G144&amp;CHAR(10)&amp;"Prefers: "&amp;H144&amp;CHAR(10)&amp;"Enquiry: "&amp;LEFT(I144,600)&amp;CHAR(10)&amp;CHAR(10)&amp;"Sent from the Preston Mazda enquiry log.","%","%25"),"&amp;","%26")," ","%20"),"#","%23"),CHAR(10),"%0A"),"✉ Email advisors"),"")</f>
        <v/>
      </c>
      <c r="V144" s="18" t="str">
        <f aca="false">IF(OR(M144="",IFERROR(INDEX(Staff!$B$4:$B$33,MATCH(M144,Staff!$A$4:$A$33,0)),"")=""),"",HYPERLINK("mailto:"&amp;IFERROR(INDEX(Staff!$B$4:$B$33,MATCH(M144,Staff!$A$4:$A$33,0)),"")&amp;"?subject="&amp;SUBSTITUTE(SUBSTITUTE(SUBSTITUTE(SUBSTITUTE(SUBSTITUTE("Enquiry "&amp;A144&amp;" allocated to you - "&amp;D144,"%","%25"),"&amp;","%26")," ","%20"),"#","%23"),CHAR(10),"%0A")&amp;"&amp;body="&amp;SUBSTITUTE(SUBSTITUTE(SUBSTITUTE(SUBSTITUTE(SUBSTITUTE("Ref: "&amp;A144&amp;CHAR(10)&amp;"Customer: "&amp;D144&amp;"  "&amp;E144&amp;CHAR(10)&amp;"Phone: "&amp;F144&amp;CHAR(10)&amp;"Email: "&amp;G144&amp;CHAR(10)&amp;"Prefers: "&amp;H144&amp;CHAR(10)&amp;"Enquiry: "&amp;LEFT(I144,600)&amp;CHAR(10)&amp;CHAR(10)&amp;"Sent from the Preston Mazda enquiry log.","%","%25"),"&amp;","%26")," ","%20"),"#","%23"),CHAR(10),"%0A"),"✉ Email "&amp;M144))</f>
        <v/>
      </c>
      <c r="W144" s="18" t="str">
        <f aca="false">IF(OR(P144="",IFERROR(INDEX(Staff!$E$4:$E$33,MATCH(P144,Staff!$D$4:$D$33,0)),"")=""),"",HYPERLINK("mailto:"&amp;IFERROR(INDEX(Staff!$E$4:$E$33,MATCH(P144,Staff!$D$4:$D$33,0)),"")&amp;"?subject="&amp;SUBSTITUTE(SUBSTITUTE(SUBSTITUTE(SUBSTITUTE(SUBSTITUTE("Parts quote "&amp;A144&amp;" allocated to you - "&amp;D144,"%","%25"),"&amp;","%26")," ","%20"),"#","%23"),CHAR(10),"%0A")&amp;"&amp;body="&amp;SUBSTITUTE(SUBSTITUTE(SUBSTITUTE(SUBSTITUTE(SUBSTITUTE("Ref: "&amp;A144&amp;CHAR(10)&amp;"Customer: "&amp;D144&amp;"  "&amp;E144&amp;CHAR(10)&amp;"Phone: "&amp;F144&amp;CHAR(10)&amp;"Email: "&amp;G144&amp;CHAR(10)&amp;"Prefers: "&amp;H144&amp;CHAR(10)&amp;"Enquiry: "&amp;LEFT(I144,600)&amp;CHAR(10)&amp;CHAR(10)&amp;"Sent from the Preston Mazda enquiry log.","%","%25"),"&amp;","%26")," ","%20"),"#","%23"),CHAR(10),"%0A"),"✉ Email "&amp;P144))</f>
        <v/>
      </c>
    </row>
    <row r="145" customFormat="false" ht="15" hidden="false" customHeight="false" outlineLevel="0" collapsed="false">
      <c r="A145" s="10" t="str">
        <f aca="false">IF(D145="","","E-"&amp;TEXT(ROW()-3,"0000"))</f>
        <v/>
      </c>
      <c r="B145" s="11"/>
      <c r="C145" s="12"/>
      <c r="D145" s="13"/>
      <c r="E145" s="14"/>
      <c r="F145" s="12"/>
      <c r="G145" s="12"/>
      <c r="H145" s="15"/>
      <c r="I145" s="16"/>
      <c r="J145" s="17" t="str">
        <f aca="false">IF(D145="","",HYPERLINK(Settings!$B$7&amp;A145&amp;".pdf","Open "&amp;A145&amp;".pdf"))</f>
        <v/>
      </c>
      <c r="K145" s="16"/>
      <c r="L145" s="12"/>
      <c r="M145" s="12"/>
      <c r="N145" s="15"/>
      <c r="O145" s="15"/>
      <c r="P145" s="12"/>
      <c r="Q145" s="15"/>
      <c r="R145" s="15"/>
      <c r="S145" s="15" t="str">
        <f aca="false">IF(D145="","",IF(AND(O145="Yes",OR(Q145&lt;&gt;"Yes",R145="Yes")),"Complete","Open"))</f>
        <v/>
      </c>
      <c r="T145" s="18" t="str">
        <f aca="false">IF(AND(Q145="Yes",R145&lt;&gt;"Yes"),HYPERLINK("mailto:"&amp;Settings!$B$5&amp;"?subject="&amp;SUBSTITUTE(SUBSTITUTE(SUBSTITUTE(SUBSTITUTE(SUBSTITUTE("Parts quote required - "&amp;D145&amp;" "&amp;E145,"%","%25"),"&amp;","%26")," ","%20"),"#","%23"),CHAR(10),"%0A")&amp;"&amp;body="&amp;SUBSTITUTE(SUBSTITUTE(SUBSTITUTE(SUBSTITUTE(SUBSTITUTE("Ref: "&amp;A145&amp;CHAR(10)&amp;"Customer: "&amp;D145&amp;"  "&amp;E145&amp;CHAR(10)&amp;"Phone: "&amp;F145&amp;CHAR(10)&amp;"Email: "&amp;G145&amp;CHAR(10)&amp;"Prefers: "&amp;H145&amp;CHAR(10)&amp;"Enquiry: "&amp;LEFT(I145,600)&amp;CHAR(10)&amp;CHAR(10)&amp;"Sent from the Preston Mazda enquiry log.","%","%25"),"&amp;","%26")," ","%20"),"#","%23"),CHAR(10),"%0A"),"✉ Email parts"),"")</f>
        <v/>
      </c>
      <c r="U145" s="18" t="str">
        <f aca="false">IF(AND(N145="Yes",O145&lt;&gt;"Yes"),HYPERLINK("mailto:"&amp;Settings!$B$6&amp;"?subject="&amp;SUBSTITUTE(SUBSTITUTE(SUBSTITUTE(SUBSTITUTE(SUBSTITUTE("Customer contact required - "&amp;D145&amp;" "&amp;E145,"%","%25"),"&amp;","%26")," ","%20"),"#","%23"),CHAR(10),"%0A")&amp;"&amp;body="&amp;SUBSTITUTE(SUBSTITUTE(SUBSTITUTE(SUBSTITUTE(SUBSTITUTE("Ref: "&amp;A145&amp;CHAR(10)&amp;"Customer: "&amp;D145&amp;"  "&amp;E145&amp;CHAR(10)&amp;"Phone: "&amp;F145&amp;CHAR(10)&amp;"Email: "&amp;G145&amp;CHAR(10)&amp;"Prefers: "&amp;H145&amp;CHAR(10)&amp;"Enquiry: "&amp;LEFT(I145,600)&amp;CHAR(10)&amp;CHAR(10)&amp;"Sent from the Preston Mazda enquiry log.","%","%25"),"&amp;","%26")," ","%20"),"#","%23"),CHAR(10),"%0A"),"✉ Email advisors"),"")</f>
        <v/>
      </c>
      <c r="V145" s="18" t="str">
        <f aca="false">IF(OR(M145="",IFERROR(INDEX(Staff!$B$4:$B$33,MATCH(M145,Staff!$A$4:$A$33,0)),"")=""),"",HYPERLINK("mailto:"&amp;IFERROR(INDEX(Staff!$B$4:$B$33,MATCH(M145,Staff!$A$4:$A$33,0)),"")&amp;"?subject="&amp;SUBSTITUTE(SUBSTITUTE(SUBSTITUTE(SUBSTITUTE(SUBSTITUTE("Enquiry "&amp;A145&amp;" allocated to you - "&amp;D145,"%","%25"),"&amp;","%26")," ","%20"),"#","%23"),CHAR(10),"%0A")&amp;"&amp;body="&amp;SUBSTITUTE(SUBSTITUTE(SUBSTITUTE(SUBSTITUTE(SUBSTITUTE("Ref: "&amp;A145&amp;CHAR(10)&amp;"Customer: "&amp;D145&amp;"  "&amp;E145&amp;CHAR(10)&amp;"Phone: "&amp;F145&amp;CHAR(10)&amp;"Email: "&amp;G145&amp;CHAR(10)&amp;"Prefers: "&amp;H145&amp;CHAR(10)&amp;"Enquiry: "&amp;LEFT(I145,600)&amp;CHAR(10)&amp;CHAR(10)&amp;"Sent from the Preston Mazda enquiry log.","%","%25"),"&amp;","%26")," ","%20"),"#","%23"),CHAR(10),"%0A"),"✉ Email "&amp;M145))</f>
        <v/>
      </c>
      <c r="W145" s="18" t="str">
        <f aca="false">IF(OR(P145="",IFERROR(INDEX(Staff!$E$4:$E$33,MATCH(P145,Staff!$D$4:$D$33,0)),"")=""),"",HYPERLINK("mailto:"&amp;IFERROR(INDEX(Staff!$E$4:$E$33,MATCH(P145,Staff!$D$4:$D$33,0)),"")&amp;"?subject="&amp;SUBSTITUTE(SUBSTITUTE(SUBSTITUTE(SUBSTITUTE(SUBSTITUTE("Parts quote "&amp;A145&amp;" allocated to you - "&amp;D145,"%","%25"),"&amp;","%26")," ","%20"),"#","%23"),CHAR(10),"%0A")&amp;"&amp;body="&amp;SUBSTITUTE(SUBSTITUTE(SUBSTITUTE(SUBSTITUTE(SUBSTITUTE("Ref: "&amp;A145&amp;CHAR(10)&amp;"Customer: "&amp;D145&amp;"  "&amp;E145&amp;CHAR(10)&amp;"Phone: "&amp;F145&amp;CHAR(10)&amp;"Email: "&amp;G145&amp;CHAR(10)&amp;"Prefers: "&amp;H145&amp;CHAR(10)&amp;"Enquiry: "&amp;LEFT(I145,600)&amp;CHAR(10)&amp;CHAR(10)&amp;"Sent from the Preston Mazda enquiry log.","%","%25"),"&amp;","%26")," ","%20"),"#","%23"),CHAR(10),"%0A"),"✉ Email "&amp;P145))</f>
        <v/>
      </c>
    </row>
    <row r="146" customFormat="false" ht="15" hidden="false" customHeight="false" outlineLevel="0" collapsed="false">
      <c r="A146" s="10" t="str">
        <f aca="false">IF(D146="","","E-"&amp;TEXT(ROW()-3,"0000"))</f>
        <v/>
      </c>
      <c r="B146" s="11"/>
      <c r="C146" s="12"/>
      <c r="D146" s="13"/>
      <c r="E146" s="14"/>
      <c r="F146" s="12"/>
      <c r="G146" s="12"/>
      <c r="H146" s="15"/>
      <c r="I146" s="16"/>
      <c r="J146" s="17" t="str">
        <f aca="false">IF(D146="","",HYPERLINK(Settings!$B$7&amp;A146&amp;".pdf","Open "&amp;A146&amp;".pdf"))</f>
        <v/>
      </c>
      <c r="K146" s="16"/>
      <c r="L146" s="12"/>
      <c r="M146" s="12"/>
      <c r="N146" s="15"/>
      <c r="O146" s="15"/>
      <c r="P146" s="12"/>
      <c r="Q146" s="15"/>
      <c r="R146" s="15"/>
      <c r="S146" s="15" t="str">
        <f aca="false">IF(D146="","",IF(AND(O146="Yes",OR(Q146&lt;&gt;"Yes",R146="Yes")),"Complete","Open"))</f>
        <v/>
      </c>
      <c r="T146" s="18" t="str">
        <f aca="false">IF(AND(Q146="Yes",R146&lt;&gt;"Yes"),HYPERLINK("mailto:"&amp;Settings!$B$5&amp;"?subject="&amp;SUBSTITUTE(SUBSTITUTE(SUBSTITUTE(SUBSTITUTE(SUBSTITUTE("Parts quote required - "&amp;D146&amp;" "&amp;E146,"%","%25"),"&amp;","%26")," ","%20"),"#","%23"),CHAR(10),"%0A")&amp;"&amp;body="&amp;SUBSTITUTE(SUBSTITUTE(SUBSTITUTE(SUBSTITUTE(SUBSTITUTE("Ref: "&amp;A146&amp;CHAR(10)&amp;"Customer: "&amp;D146&amp;"  "&amp;E146&amp;CHAR(10)&amp;"Phone: "&amp;F146&amp;CHAR(10)&amp;"Email: "&amp;G146&amp;CHAR(10)&amp;"Prefers: "&amp;H146&amp;CHAR(10)&amp;"Enquiry: "&amp;LEFT(I146,600)&amp;CHAR(10)&amp;CHAR(10)&amp;"Sent from the Preston Mazda enquiry log.","%","%25"),"&amp;","%26")," ","%20"),"#","%23"),CHAR(10),"%0A"),"✉ Email parts"),"")</f>
        <v/>
      </c>
      <c r="U146" s="18" t="str">
        <f aca="false">IF(AND(N146="Yes",O146&lt;&gt;"Yes"),HYPERLINK("mailto:"&amp;Settings!$B$6&amp;"?subject="&amp;SUBSTITUTE(SUBSTITUTE(SUBSTITUTE(SUBSTITUTE(SUBSTITUTE("Customer contact required - "&amp;D146&amp;" "&amp;E146,"%","%25"),"&amp;","%26")," ","%20"),"#","%23"),CHAR(10),"%0A")&amp;"&amp;body="&amp;SUBSTITUTE(SUBSTITUTE(SUBSTITUTE(SUBSTITUTE(SUBSTITUTE("Ref: "&amp;A146&amp;CHAR(10)&amp;"Customer: "&amp;D146&amp;"  "&amp;E146&amp;CHAR(10)&amp;"Phone: "&amp;F146&amp;CHAR(10)&amp;"Email: "&amp;G146&amp;CHAR(10)&amp;"Prefers: "&amp;H146&amp;CHAR(10)&amp;"Enquiry: "&amp;LEFT(I146,600)&amp;CHAR(10)&amp;CHAR(10)&amp;"Sent from the Preston Mazda enquiry log.","%","%25"),"&amp;","%26")," ","%20"),"#","%23"),CHAR(10),"%0A"),"✉ Email advisors"),"")</f>
        <v/>
      </c>
      <c r="V146" s="18" t="str">
        <f aca="false">IF(OR(M146="",IFERROR(INDEX(Staff!$B$4:$B$33,MATCH(M146,Staff!$A$4:$A$33,0)),"")=""),"",HYPERLINK("mailto:"&amp;IFERROR(INDEX(Staff!$B$4:$B$33,MATCH(M146,Staff!$A$4:$A$33,0)),"")&amp;"?subject="&amp;SUBSTITUTE(SUBSTITUTE(SUBSTITUTE(SUBSTITUTE(SUBSTITUTE("Enquiry "&amp;A146&amp;" allocated to you - "&amp;D146,"%","%25"),"&amp;","%26")," ","%20"),"#","%23"),CHAR(10),"%0A")&amp;"&amp;body="&amp;SUBSTITUTE(SUBSTITUTE(SUBSTITUTE(SUBSTITUTE(SUBSTITUTE("Ref: "&amp;A146&amp;CHAR(10)&amp;"Customer: "&amp;D146&amp;"  "&amp;E146&amp;CHAR(10)&amp;"Phone: "&amp;F146&amp;CHAR(10)&amp;"Email: "&amp;G146&amp;CHAR(10)&amp;"Prefers: "&amp;H146&amp;CHAR(10)&amp;"Enquiry: "&amp;LEFT(I146,600)&amp;CHAR(10)&amp;CHAR(10)&amp;"Sent from the Preston Mazda enquiry log.","%","%25"),"&amp;","%26")," ","%20"),"#","%23"),CHAR(10),"%0A"),"✉ Email "&amp;M146))</f>
        <v/>
      </c>
      <c r="W146" s="18" t="str">
        <f aca="false">IF(OR(P146="",IFERROR(INDEX(Staff!$E$4:$E$33,MATCH(P146,Staff!$D$4:$D$33,0)),"")=""),"",HYPERLINK("mailto:"&amp;IFERROR(INDEX(Staff!$E$4:$E$33,MATCH(P146,Staff!$D$4:$D$33,0)),"")&amp;"?subject="&amp;SUBSTITUTE(SUBSTITUTE(SUBSTITUTE(SUBSTITUTE(SUBSTITUTE("Parts quote "&amp;A146&amp;" allocated to you - "&amp;D146,"%","%25"),"&amp;","%26")," ","%20"),"#","%23"),CHAR(10),"%0A")&amp;"&amp;body="&amp;SUBSTITUTE(SUBSTITUTE(SUBSTITUTE(SUBSTITUTE(SUBSTITUTE("Ref: "&amp;A146&amp;CHAR(10)&amp;"Customer: "&amp;D146&amp;"  "&amp;E146&amp;CHAR(10)&amp;"Phone: "&amp;F146&amp;CHAR(10)&amp;"Email: "&amp;G146&amp;CHAR(10)&amp;"Prefers: "&amp;H146&amp;CHAR(10)&amp;"Enquiry: "&amp;LEFT(I146,600)&amp;CHAR(10)&amp;CHAR(10)&amp;"Sent from the Preston Mazda enquiry log.","%","%25"),"&amp;","%26")," ","%20"),"#","%23"),CHAR(10),"%0A"),"✉ Email "&amp;P146))</f>
        <v/>
      </c>
    </row>
    <row r="147" customFormat="false" ht="15" hidden="false" customHeight="false" outlineLevel="0" collapsed="false">
      <c r="A147" s="10" t="str">
        <f aca="false">IF(D147="","","E-"&amp;TEXT(ROW()-3,"0000"))</f>
        <v/>
      </c>
      <c r="B147" s="11"/>
      <c r="C147" s="12"/>
      <c r="D147" s="13"/>
      <c r="E147" s="14"/>
      <c r="F147" s="12"/>
      <c r="G147" s="12"/>
      <c r="H147" s="15"/>
      <c r="I147" s="16"/>
      <c r="J147" s="17" t="str">
        <f aca="false">IF(D147="","",HYPERLINK(Settings!$B$7&amp;A147&amp;".pdf","Open "&amp;A147&amp;".pdf"))</f>
        <v/>
      </c>
      <c r="K147" s="16"/>
      <c r="L147" s="12"/>
      <c r="M147" s="12"/>
      <c r="N147" s="15"/>
      <c r="O147" s="15"/>
      <c r="P147" s="12"/>
      <c r="Q147" s="15"/>
      <c r="R147" s="15"/>
      <c r="S147" s="15" t="str">
        <f aca="false">IF(D147="","",IF(AND(O147="Yes",OR(Q147&lt;&gt;"Yes",R147="Yes")),"Complete","Open"))</f>
        <v/>
      </c>
      <c r="T147" s="18" t="str">
        <f aca="false">IF(AND(Q147="Yes",R147&lt;&gt;"Yes"),HYPERLINK("mailto:"&amp;Settings!$B$5&amp;"?subject="&amp;SUBSTITUTE(SUBSTITUTE(SUBSTITUTE(SUBSTITUTE(SUBSTITUTE("Parts quote required - "&amp;D147&amp;" "&amp;E147,"%","%25"),"&amp;","%26")," ","%20"),"#","%23"),CHAR(10),"%0A")&amp;"&amp;body="&amp;SUBSTITUTE(SUBSTITUTE(SUBSTITUTE(SUBSTITUTE(SUBSTITUTE("Ref: "&amp;A147&amp;CHAR(10)&amp;"Customer: "&amp;D147&amp;"  "&amp;E147&amp;CHAR(10)&amp;"Phone: "&amp;F147&amp;CHAR(10)&amp;"Email: "&amp;G147&amp;CHAR(10)&amp;"Prefers: "&amp;H147&amp;CHAR(10)&amp;"Enquiry: "&amp;LEFT(I147,600)&amp;CHAR(10)&amp;CHAR(10)&amp;"Sent from the Preston Mazda enquiry log.","%","%25"),"&amp;","%26")," ","%20"),"#","%23"),CHAR(10),"%0A"),"✉ Email parts"),"")</f>
        <v/>
      </c>
      <c r="U147" s="18" t="str">
        <f aca="false">IF(AND(N147="Yes",O147&lt;&gt;"Yes"),HYPERLINK("mailto:"&amp;Settings!$B$6&amp;"?subject="&amp;SUBSTITUTE(SUBSTITUTE(SUBSTITUTE(SUBSTITUTE(SUBSTITUTE("Customer contact required - "&amp;D147&amp;" "&amp;E147,"%","%25"),"&amp;","%26")," ","%20"),"#","%23"),CHAR(10),"%0A")&amp;"&amp;body="&amp;SUBSTITUTE(SUBSTITUTE(SUBSTITUTE(SUBSTITUTE(SUBSTITUTE("Ref: "&amp;A147&amp;CHAR(10)&amp;"Customer: "&amp;D147&amp;"  "&amp;E147&amp;CHAR(10)&amp;"Phone: "&amp;F147&amp;CHAR(10)&amp;"Email: "&amp;G147&amp;CHAR(10)&amp;"Prefers: "&amp;H147&amp;CHAR(10)&amp;"Enquiry: "&amp;LEFT(I147,600)&amp;CHAR(10)&amp;CHAR(10)&amp;"Sent from the Preston Mazda enquiry log.","%","%25"),"&amp;","%26")," ","%20"),"#","%23"),CHAR(10),"%0A"),"✉ Email advisors"),"")</f>
        <v/>
      </c>
      <c r="V147" s="18" t="str">
        <f aca="false">IF(OR(M147="",IFERROR(INDEX(Staff!$B$4:$B$33,MATCH(M147,Staff!$A$4:$A$33,0)),"")=""),"",HYPERLINK("mailto:"&amp;IFERROR(INDEX(Staff!$B$4:$B$33,MATCH(M147,Staff!$A$4:$A$33,0)),"")&amp;"?subject="&amp;SUBSTITUTE(SUBSTITUTE(SUBSTITUTE(SUBSTITUTE(SUBSTITUTE("Enquiry "&amp;A147&amp;" allocated to you - "&amp;D147,"%","%25"),"&amp;","%26")," ","%20"),"#","%23"),CHAR(10),"%0A")&amp;"&amp;body="&amp;SUBSTITUTE(SUBSTITUTE(SUBSTITUTE(SUBSTITUTE(SUBSTITUTE("Ref: "&amp;A147&amp;CHAR(10)&amp;"Customer: "&amp;D147&amp;"  "&amp;E147&amp;CHAR(10)&amp;"Phone: "&amp;F147&amp;CHAR(10)&amp;"Email: "&amp;G147&amp;CHAR(10)&amp;"Prefers: "&amp;H147&amp;CHAR(10)&amp;"Enquiry: "&amp;LEFT(I147,600)&amp;CHAR(10)&amp;CHAR(10)&amp;"Sent from the Preston Mazda enquiry log.","%","%25"),"&amp;","%26")," ","%20"),"#","%23"),CHAR(10),"%0A"),"✉ Email "&amp;M147))</f>
        <v/>
      </c>
      <c r="W147" s="18" t="str">
        <f aca="false">IF(OR(P147="",IFERROR(INDEX(Staff!$E$4:$E$33,MATCH(P147,Staff!$D$4:$D$33,0)),"")=""),"",HYPERLINK("mailto:"&amp;IFERROR(INDEX(Staff!$E$4:$E$33,MATCH(P147,Staff!$D$4:$D$33,0)),"")&amp;"?subject="&amp;SUBSTITUTE(SUBSTITUTE(SUBSTITUTE(SUBSTITUTE(SUBSTITUTE("Parts quote "&amp;A147&amp;" allocated to you - "&amp;D147,"%","%25"),"&amp;","%26")," ","%20"),"#","%23"),CHAR(10),"%0A")&amp;"&amp;body="&amp;SUBSTITUTE(SUBSTITUTE(SUBSTITUTE(SUBSTITUTE(SUBSTITUTE("Ref: "&amp;A147&amp;CHAR(10)&amp;"Customer: "&amp;D147&amp;"  "&amp;E147&amp;CHAR(10)&amp;"Phone: "&amp;F147&amp;CHAR(10)&amp;"Email: "&amp;G147&amp;CHAR(10)&amp;"Prefers: "&amp;H147&amp;CHAR(10)&amp;"Enquiry: "&amp;LEFT(I147,600)&amp;CHAR(10)&amp;CHAR(10)&amp;"Sent from the Preston Mazda enquiry log.","%","%25"),"&amp;","%26")," ","%20"),"#","%23"),CHAR(10),"%0A"),"✉ Email "&amp;P147))</f>
        <v/>
      </c>
    </row>
    <row r="148" customFormat="false" ht="15" hidden="false" customHeight="false" outlineLevel="0" collapsed="false">
      <c r="A148" s="10" t="str">
        <f aca="false">IF(D148="","","E-"&amp;TEXT(ROW()-3,"0000"))</f>
        <v/>
      </c>
      <c r="B148" s="11"/>
      <c r="C148" s="12"/>
      <c r="D148" s="13"/>
      <c r="E148" s="14"/>
      <c r="F148" s="12"/>
      <c r="G148" s="12"/>
      <c r="H148" s="15"/>
      <c r="I148" s="16"/>
      <c r="J148" s="17" t="str">
        <f aca="false">IF(D148="","",HYPERLINK(Settings!$B$7&amp;A148&amp;".pdf","Open "&amp;A148&amp;".pdf"))</f>
        <v/>
      </c>
      <c r="K148" s="16"/>
      <c r="L148" s="12"/>
      <c r="M148" s="12"/>
      <c r="N148" s="15"/>
      <c r="O148" s="15"/>
      <c r="P148" s="12"/>
      <c r="Q148" s="15"/>
      <c r="R148" s="15"/>
      <c r="S148" s="15" t="str">
        <f aca="false">IF(D148="","",IF(AND(O148="Yes",OR(Q148&lt;&gt;"Yes",R148="Yes")),"Complete","Open"))</f>
        <v/>
      </c>
      <c r="T148" s="18" t="str">
        <f aca="false">IF(AND(Q148="Yes",R148&lt;&gt;"Yes"),HYPERLINK("mailto:"&amp;Settings!$B$5&amp;"?subject="&amp;SUBSTITUTE(SUBSTITUTE(SUBSTITUTE(SUBSTITUTE(SUBSTITUTE("Parts quote required - "&amp;D148&amp;" "&amp;E148,"%","%25"),"&amp;","%26")," ","%20"),"#","%23"),CHAR(10),"%0A")&amp;"&amp;body="&amp;SUBSTITUTE(SUBSTITUTE(SUBSTITUTE(SUBSTITUTE(SUBSTITUTE("Ref: "&amp;A148&amp;CHAR(10)&amp;"Customer: "&amp;D148&amp;"  "&amp;E148&amp;CHAR(10)&amp;"Phone: "&amp;F148&amp;CHAR(10)&amp;"Email: "&amp;G148&amp;CHAR(10)&amp;"Prefers: "&amp;H148&amp;CHAR(10)&amp;"Enquiry: "&amp;LEFT(I148,600)&amp;CHAR(10)&amp;CHAR(10)&amp;"Sent from the Preston Mazda enquiry log.","%","%25"),"&amp;","%26")," ","%20"),"#","%23"),CHAR(10),"%0A"),"✉ Email parts"),"")</f>
        <v/>
      </c>
      <c r="U148" s="18" t="str">
        <f aca="false">IF(AND(N148="Yes",O148&lt;&gt;"Yes"),HYPERLINK("mailto:"&amp;Settings!$B$6&amp;"?subject="&amp;SUBSTITUTE(SUBSTITUTE(SUBSTITUTE(SUBSTITUTE(SUBSTITUTE("Customer contact required - "&amp;D148&amp;" "&amp;E148,"%","%25"),"&amp;","%26")," ","%20"),"#","%23"),CHAR(10),"%0A")&amp;"&amp;body="&amp;SUBSTITUTE(SUBSTITUTE(SUBSTITUTE(SUBSTITUTE(SUBSTITUTE("Ref: "&amp;A148&amp;CHAR(10)&amp;"Customer: "&amp;D148&amp;"  "&amp;E148&amp;CHAR(10)&amp;"Phone: "&amp;F148&amp;CHAR(10)&amp;"Email: "&amp;G148&amp;CHAR(10)&amp;"Prefers: "&amp;H148&amp;CHAR(10)&amp;"Enquiry: "&amp;LEFT(I148,600)&amp;CHAR(10)&amp;CHAR(10)&amp;"Sent from the Preston Mazda enquiry log.","%","%25"),"&amp;","%26")," ","%20"),"#","%23"),CHAR(10),"%0A"),"✉ Email advisors"),"")</f>
        <v/>
      </c>
      <c r="V148" s="18" t="str">
        <f aca="false">IF(OR(M148="",IFERROR(INDEX(Staff!$B$4:$B$33,MATCH(M148,Staff!$A$4:$A$33,0)),"")=""),"",HYPERLINK("mailto:"&amp;IFERROR(INDEX(Staff!$B$4:$B$33,MATCH(M148,Staff!$A$4:$A$33,0)),"")&amp;"?subject="&amp;SUBSTITUTE(SUBSTITUTE(SUBSTITUTE(SUBSTITUTE(SUBSTITUTE("Enquiry "&amp;A148&amp;" allocated to you - "&amp;D148,"%","%25"),"&amp;","%26")," ","%20"),"#","%23"),CHAR(10),"%0A")&amp;"&amp;body="&amp;SUBSTITUTE(SUBSTITUTE(SUBSTITUTE(SUBSTITUTE(SUBSTITUTE("Ref: "&amp;A148&amp;CHAR(10)&amp;"Customer: "&amp;D148&amp;"  "&amp;E148&amp;CHAR(10)&amp;"Phone: "&amp;F148&amp;CHAR(10)&amp;"Email: "&amp;G148&amp;CHAR(10)&amp;"Prefers: "&amp;H148&amp;CHAR(10)&amp;"Enquiry: "&amp;LEFT(I148,600)&amp;CHAR(10)&amp;CHAR(10)&amp;"Sent from the Preston Mazda enquiry log.","%","%25"),"&amp;","%26")," ","%20"),"#","%23"),CHAR(10),"%0A"),"✉ Email "&amp;M148))</f>
        <v/>
      </c>
      <c r="W148" s="18" t="str">
        <f aca="false">IF(OR(P148="",IFERROR(INDEX(Staff!$E$4:$E$33,MATCH(P148,Staff!$D$4:$D$33,0)),"")=""),"",HYPERLINK("mailto:"&amp;IFERROR(INDEX(Staff!$E$4:$E$33,MATCH(P148,Staff!$D$4:$D$33,0)),"")&amp;"?subject="&amp;SUBSTITUTE(SUBSTITUTE(SUBSTITUTE(SUBSTITUTE(SUBSTITUTE("Parts quote "&amp;A148&amp;" allocated to you - "&amp;D148,"%","%25"),"&amp;","%26")," ","%20"),"#","%23"),CHAR(10),"%0A")&amp;"&amp;body="&amp;SUBSTITUTE(SUBSTITUTE(SUBSTITUTE(SUBSTITUTE(SUBSTITUTE("Ref: "&amp;A148&amp;CHAR(10)&amp;"Customer: "&amp;D148&amp;"  "&amp;E148&amp;CHAR(10)&amp;"Phone: "&amp;F148&amp;CHAR(10)&amp;"Email: "&amp;G148&amp;CHAR(10)&amp;"Prefers: "&amp;H148&amp;CHAR(10)&amp;"Enquiry: "&amp;LEFT(I148,600)&amp;CHAR(10)&amp;CHAR(10)&amp;"Sent from the Preston Mazda enquiry log.","%","%25"),"&amp;","%26")," ","%20"),"#","%23"),CHAR(10),"%0A"),"✉ Email "&amp;P148))</f>
        <v/>
      </c>
    </row>
    <row r="149" customFormat="false" ht="15" hidden="false" customHeight="false" outlineLevel="0" collapsed="false">
      <c r="A149" s="10" t="str">
        <f aca="false">IF(D149="","","E-"&amp;TEXT(ROW()-3,"0000"))</f>
        <v/>
      </c>
      <c r="B149" s="11"/>
      <c r="C149" s="12"/>
      <c r="D149" s="13"/>
      <c r="E149" s="14"/>
      <c r="F149" s="12"/>
      <c r="G149" s="12"/>
      <c r="H149" s="15"/>
      <c r="I149" s="16"/>
      <c r="J149" s="17" t="str">
        <f aca="false">IF(D149="","",HYPERLINK(Settings!$B$7&amp;A149&amp;".pdf","Open "&amp;A149&amp;".pdf"))</f>
        <v/>
      </c>
      <c r="K149" s="16"/>
      <c r="L149" s="12"/>
      <c r="M149" s="12"/>
      <c r="N149" s="15"/>
      <c r="O149" s="15"/>
      <c r="P149" s="12"/>
      <c r="Q149" s="15"/>
      <c r="R149" s="15"/>
      <c r="S149" s="15" t="str">
        <f aca="false">IF(D149="","",IF(AND(O149="Yes",OR(Q149&lt;&gt;"Yes",R149="Yes")),"Complete","Open"))</f>
        <v/>
      </c>
      <c r="T149" s="18" t="str">
        <f aca="false">IF(AND(Q149="Yes",R149&lt;&gt;"Yes"),HYPERLINK("mailto:"&amp;Settings!$B$5&amp;"?subject="&amp;SUBSTITUTE(SUBSTITUTE(SUBSTITUTE(SUBSTITUTE(SUBSTITUTE("Parts quote required - "&amp;D149&amp;" "&amp;E149,"%","%25"),"&amp;","%26")," ","%20"),"#","%23"),CHAR(10),"%0A")&amp;"&amp;body="&amp;SUBSTITUTE(SUBSTITUTE(SUBSTITUTE(SUBSTITUTE(SUBSTITUTE("Ref: "&amp;A149&amp;CHAR(10)&amp;"Customer: "&amp;D149&amp;"  "&amp;E149&amp;CHAR(10)&amp;"Phone: "&amp;F149&amp;CHAR(10)&amp;"Email: "&amp;G149&amp;CHAR(10)&amp;"Prefers: "&amp;H149&amp;CHAR(10)&amp;"Enquiry: "&amp;LEFT(I149,600)&amp;CHAR(10)&amp;CHAR(10)&amp;"Sent from the Preston Mazda enquiry log.","%","%25"),"&amp;","%26")," ","%20"),"#","%23"),CHAR(10),"%0A"),"✉ Email parts"),"")</f>
        <v/>
      </c>
      <c r="U149" s="18" t="str">
        <f aca="false">IF(AND(N149="Yes",O149&lt;&gt;"Yes"),HYPERLINK("mailto:"&amp;Settings!$B$6&amp;"?subject="&amp;SUBSTITUTE(SUBSTITUTE(SUBSTITUTE(SUBSTITUTE(SUBSTITUTE("Customer contact required - "&amp;D149&amp;" "&amp;E149,"%","%25"),"&amp;","%26")," ","%20"),"#","%23"),CHAR(10),"%0A")&amp;"&amp;body="&amp;SUBSTITUTE(SUBSTITUTE(SUBSTITUTE(SUBSTITUTE(SUBSTITUTE("Ref: "&amp;A149&amp;CHAR(10)&amp;"Customer: "&amp;D149&amp;"  "&amp;E149&amp;CHAR(10)&amp;"Phone: "&amp;F149&amp;CHAR(10)&amp;"Email: "&amp;G149&amp;CHAR(10)&amp;"Prefers: "&amp;H149&amp;CHAR(10)&amp;"Enquiry: "&amp;LEFT(I149,600)&amp;CHAR(10)&amp;CHAR(10)&amp;"Sent from the Preston Mazda enquiry log.","%","%25"),"&amp;","%26")," ","%20"),"#","%23"),CHAR(10),"%0A"),"✉ Email advisors"),"")</f>
        <v/>
      </c>
      <c r="V149" s="18" t="str">
        <f aca="false">IF(OR(M149="",IFERROR(INDEX(Staff!$B$4:$B$33,MATCH(M149,Staff!$A$4:$A$33,0)),"")=""),"",HYPERLINK("mailto:"&amp;IFERROR(INDEX(Staff!$B$4:$B$33,MATCH(M149,Staff!$A$4:$A$33,0)),"")&amp;"?subject="&amp;SUBSTITUTE(SUBSTITUTE(SUBSTITUTE(SUBSTITUTE(SUBSTITUTE("Enquiry "&amp;A149&amp;" allocated to you - "&amp;D149,"%","%25"),"&amp;","%26")," ","%20"),"#","%23"),CHAR(10),"%0A")&amp;"&amp;body="&amp;SUBSTITUTE(SUBSTITUTE(SUBSTITUTE(SUBSTITUTE(SUBSTITUTE("Ref: "&amp;A149&amp;CHAR(10)&amp;"Customer: "&amp;D149&amp;"  "&amp;E149&amp;CHAR(10)&amp;"Phone: "&amp;F149&amp;CHAR(10)&amp;"Email: "&amp;G149&amp;CHAR(10)&amp;"Prefers: "&amp;H149&amp;CHAR(10)&amp;"Enquiry: "&amp;LEFT(I149,600)&amp;CHAR(10)&amp;CHAR(10)&amp;"Sent from the Preston Mazda enquiry log.","%","%25"),"&amp;","%26")," ","%20"),"#","%23"),CHAR(10),"%0A"),"✉ Email "&amp;M149))</f>
        <v/>
      </c>
      <c r="W149" s="18" t="str">
        <f aca="false">IF(OR(P149="",IFERROR(INDEX(Staff!$E$4:$E$33,MATCH(P149,Staff!$D$4:$D$33,0)),"")=""),"",HYPERLINK("mailto:"&amp;IFERROR(INDEX(Staff!$E$4:$E$33,MATCH(P149,Staff!$D$4:$D$33,0)),"")&amp;"?subject="&amp;SUBSTITUTE(SUBSTITUTE(SUBSTITUTE(SUBSTITUTE(SUBSTITUTE("Parts quote "&amp;A149&amp;" allocated to you - "&amp;D149,"%","%25"),"&amp;","%26")," ","%20"),"#","%23"),CHAR(10),"%0A")&amp;"&amp;body="&amp;SUBSTITUTE(SUBSTITUTE(SUBSTITUTE(SUBSTITUTE(SUBSTITUTE("Ref: "&amp;A149&amp;CHAR(10)&amp;"Customer: "&amp;D149&amp;"  "&amp;E149&amp;CHAR(10)&amp;"Phone: "&amp;F149&amp;CHAR(10)&amp;"Email: "&amp;G149&amp;CHAR(10)&amp;"Prefers: "&amp;H149&amp;CHAR(10)&amp;"Enquiry: "&amp;LEFT(I149,600)&amp;CHAR(10)&amp;CHAR(10)&amp;"Sent from the Preston Mazda enquiry log.","%","%25"),"&amp;","%26")," ","%20"),"#","%23"),CHAR(10),"%0A"),"✉ Email "&amp;P149))</f>
        <v/>
      </c>
    </row>
    <row r="150" customFormat="false" ht="15" hidden="false" customHeight="false" outlineLevel="0" collapsed="false">
      <c r="A150" s="10" t="str">
        <f aca="false">IF(D150="","","E-"&amp;TEXT(ROW()-3,"0000"))</f>
        <v/>
      </c>
      <c r="B150" s="11"/>
      <c r="C150" s="12"/>
      <c r="D150" s="13"/>
      <c r="E150" s="14"/>
      <c r="F150" s="12"/>
      <c r="G150" s="12"/>
      <c r="H150" s="15"/>
      <c r="I150" s="16"/>
      <c r="J150" s="17" t="str">
        <f aca="false">IF(D150="","",HYPERLINK(Settings!$B$7&amp;A150&amp;".pdf","Open "&amp;A150&amp;".pdf"))</f>
        <v/>
      </c>
      <c r="K150" s="16"/>
      <c r="L150" s="12"/>
      <c r="M150" s="12"/>
      <c r="N150" s="15"/>
      <c r="O150" s="15"/>
      <c r="P150" s="12"/>
      <c r="Q150" s="15"/>
      <c r="R150" s="15"/>
      <c r="S150" s="15" t="str">
        <f aca="false">IF(D150="","",IF(AND(O150="Yes",OR(Q150&lt;&gt;"Yes",R150="Yes")),"Complete","Open"))</f>
        <v/>
      </c>
      <c r="T150" s="18" t="str">
        <f aca="false">IF(AND(Q150="Yes",R150&lt;&gt;"Yes"),HYPERLINK("mailto:"&amp;Settings!$B$5&amp;"?subject="&amp;SUBSTITUTE(SUBSTITUTE(SUBSTITUTE(SUBSTITUTE(SUBSTITUTE("Parts quote required - "&amp;D150&amp;" "&amp;E150,"%","%25"),"&amp;","%26")," ","%20"),"#","%23"),CHAR(10),"%0A")&amp;"&amp;body="&amp;SUBSTITUTE(SUBSTITUTE(SUBSTITUTE(SUBSTITUTE(SUBSTITUTE("Ref: "&amp;A150&amp;CHAR(10)&amp;"Customer: "&amp;D150&amp;"  "&amp;E150&amp;CHAR(10)&amp;"Phone: "&amp;F150&amp;CHAR(10)&amp;"Email: "&amp;G150&amp;CHAR(10)&amp;"Prefers: "&amp;H150&amp;CHAR(10)&amp;"Enquiry: "&amp;LEFT(I150,600)&amp;CHAR(10)&amp;CHAR(10)&amp;"Sent from the Preston Mazda enquiry log.","%","%25"),"&amp;","%26")," ","%20"),"#","%23"),CHAR(10),"%0A"),"✉ Email parts"),"")</f>
        <v/>
      </c>
      <c r="U150" s="18" t="str">
        <f aca="false">IF(AND(N150="Yes",O150&lt;&gt;"Yes"),HYPERLINK("mailto:"&amp;Settings!$B$6&amp;"?subject="&amp;SUBSTITUTE(SUBSTITUTE(SUBSTITUTE(SUBSTITUTE(SUBSTITUTE("Customer contact required - "&amp;D150&amp;" "&amp;E150,"%","%25"),"&amp;","%26")," ","%20"),"#","%23"),CHAR(10),"%0A")&amp;"&amp;body="&amp;SUBSTITUTE(SUBSTITUTE(SUBSTITUTE(SUBSTITUTE(SUBSTITUTE("Ref: "&amp;A150&amp;CHAR(10)&amp;"Customer: "&amp;D150&amp;"  "&amp;E150&amp;CHAR(10)&amp;"Phone: "&amp;F150&amp;CHAR(10)&amp;"Email: "&amp;G150&amp;CHAR(10)&amp;"Prefers: "&amp;H150&amp;CHAR(10)&amp;"Enquiry: "&amp;LEFT(I150,600)&amp;CHAR(10)&amp;CHAR(10)&amp;"Sent from the Preston Mazda enquiry log.","%","%25"),"&amp;","%26")," ","%20"),"#","%23"),CHAR(10),"%0A"),"✉ Email advisors"),"")</f>
        <v/>
      </c>
      <c r="V150" s="18" t="str">
        <f aca="false">IF(OR(M150="",IFERROR(INDEX(Staff!$B$4:$B$33,MATCH(M150,Staff!$A$4:$A$33,0)),"")=""),"",HYPERLINK("mailto:"&amp;IFERROR(INDEX(Staff!$B$4:$B$33,MATCH(M150,Staff!$A$4:$A$33,0)),"")&amp;"?subject="&amp;SUBSTITUTE(SUBSTITUTE(SUBSTITUTE(SUBSTITUTE(SUBSTITUTE("Enquiry "&amp;A150&amp;" allocated to you - "&amp;D150,"%","%25"),"&amp;","%26")," ","%20"),"#","%23"),CHAR(10),"%0A")&amp;"&amp;body="&amp;SUBSTITUTE(SUBSTITUTE(SUBSTITUTE(SUBSTITUTE(SUBSTITUTE("Ref: "&amp;A150&amp;CHAR(10)&amp;"Customer: "&amp;D150&amp;"  "&amp;E150&amp;CHAR(10)&amp;"Phone: "&amp;F150&amp;CHAR(10)&amp;"Email: "&amp;G150&amp;CHAR(10)&amp;"Prefers: "&amp;H150&amp;CHAR(10)&amp;"Enquiry: "&amp;LEFT(I150,600)&amp;CHAR(10)&amp;CHAR(10)&amp;"Sent from the Preston Mazda enquiry log.","%","%25"),"&amp;","%26")," ","%20"),"#","%23"),CHAR(10),"%0A"),"✉ Email "&amp;M150))</f>
        <v/>
      </c>
      <c r="W150" s="18" t="str">
        <f aca="false">IF(OR(P150="",IFERROR(INDEX(Staff!$E$4:$E$33,MATCH(P150,Staff!$D$4:$D$33,0)),"")=""),"",HYPERLINK("mailto:"&amp;IFERROR(INDEX(Staff!$E$4:$E$33,MATCH(P150,Staff!$D$4:$D$33,0)),"")&amp;"?subject="&amp;SUBSTITUTE(SUBSTITUTE(SUBSTITUTE(SUBSTITUTE(SUBSTITUTE("Parts quote "&amp;A150&amp;" allocated to you - "&amp;D150,"%","%25"),"&amp;","%26")," ","%20"),"#","%23"),CHAR(10),"%0A")&amp;"&amp;body="&amp;SUBSTITUTE(SUBSTITUTE(SUBSTITUTE(SUBSTITUTE(SUBSTITUTE("Ref: "&amp;A150&amp;CHAR(10)&amp;"Customer: "&amp;D150&amp;"  "&amp;E150&amp;CHAR(10)&amp;"Phone: "&amp;F150&amp;CHAR(10)&amp;"Email: "&amp;G150&amp;CHAR(10)&amp;"Prefers: "&amp;H150&amp;CHAR(10)&amp;"Enquiry: "&amp;LEFT(I150,600)&amp;CHAR(10)&amp;CHAR(10)&amp;"Sent from the Preston Mazda enquiry log.","%","%25"),"&amp;","%26")," ","%20"),"#","%23"),CHAR(10),"%0A"),"✉ Email "&amp;P150))</f>
        <v/>
      </c>
    </row>
    <row r="151" customFormat="false" ht="15" hidden="false" customHeight="false" outlineLevel="0" collapsed="false">
      <c r="A151" s="10" t="str">
        <f aca="false">IF(D151="","","E-"&amp;TEXT(ROW()-3,"0000"))</f>
        <v/>
      </c>
      <c r="B151" s="11"/>
      <c r="C151" s="12"/>
      <c r="D151" s="13"/>
      <c r="E151" s="14"/>
      <c r="F151" s="12"/>
      <c r="G151" s="12"/>
      <c r="H151" s="15"/>
      <c r="I151" s="16"/>
      <c r="J151" s="17" t="str">
        <f aca="false">IF(D151="","",HYPERLINK(Settings!$B$7&amp;A151&amp;".pdf","Open "&amp;A151&amp;".pdf"))</f>
        <v/>
      </c>
      <c r="K151" s="16"/>
      <c r="L151" s="12"/>
      <c r="M151" s="12"/>
      <c r="N151" s="15"/>
      <c r="O151" s="15"/>
      <c r="P151" s="12"/>
      <c r="Q151" s="15"/>
      <c r="R151" s="15"/>
      <c r="S151" s="15" t="str">
        <f aca="false">IF(D151="","",IF(AND(O151="Yes",OR(Q151&lt;&gt;"Yes",R151="Yes")),"Complete","Open"))</f>
        <v/>
      </c>
      <c r="T151" s="18" t="str">
        <f aca="false">IF(AND(Q151="Yes",R151&lt;&gt;"Yes"),HYPERLINK("mailto:"&amp;Settings!$B$5&amp;"?subject="&amp;SUBSTITUTE(SUBSTITUTE(SUBSTITUTE(SUBSTITUTE(SUBSTITUTE("Parts quote required - "&amp;D151&amp;" "&amp;E151,"%","%25"),"&amp;","%26")," ","%20"),"#","%23"),CHAR(10),"%0A")&amp;"&amp;body="&amp;SUBSTITUTE(SUBSTITUTE(SUBSTITUTE(SUBSTITUTE(SUBSTITUTE("Ref: "&amp;A151&amp;CHAR(10)&amp;"Customer: "&amp;D151&amp;"  "&amp;E151&amp;CHAR(10)&amp;"Phone: "&amp;F151&amp;CHAR(10)&amp;"Email: "&amp;G151&amp;CHAR(10)&amp;"Prefers: "&amp;H151&amp;CHAR(10)&amp;"Enquiry: "&amp;LEFT(I151,600)&amp;CHAR(10)&amp;CHAR(10)&amp;"Sent from the Preston Mazda enquiry log.","%","%25"),"&amp;","%26")," ","%20"),"#","%23"),CHAR(10),"%0A"),"✉ Email parts"),"")</f>
        <v/>
      </c>
      <c r="U151" s="18" t="str">
        <f aca="false">IF(AND(N151="Yes",O151&lt;&gt;"Yes"),HYPERLINK("mailto:"&amp;Settings!$B$6&amp;"?subject="&amp;SUBSTITUTE(SUBSTITUTE(SUBSTITUTE(SUBSTITUTE(SUBSTITUTE("Customer contact required - "&amp;D151&amp;" "&amp;E151,"%","%25"),"&amp;","%26")," ","%20"),"#","%23"),CHAR(10),"%0A")&amp;"&amp;body="&amp;SUBSTITUTE(SUBSTITUTE(SUBSTITUTE(SUBSTITUTE(SUBSTITUTE("Ref: "&amp;A151&amp;CHAR(10)&amp;"Customer: "&amp;D151&amp;"  "&amp;E151&amp;CHAR(10)&amp;"Phone: "&amp;F151&amp;CHAR(10)&amp;"Email: "&amp;G151&amp;CHAR(10)&amp;"Prefers: "&amp;H151&amp;CHAR(10)&amp;"Enquiry: "&amp;LEFT(I151,600)&amp;CHAR(10)&amp;CHAR(10)&amp;"Sent from the Preston Mazda enquiry log.","%","%25"),"&amp;","%26")," ","%20"),"#","%23"),CHAR(10),"%0A"),"✉ Email advisors"),"")</f>
        <v/>
      </c>
      <c r="V151" s="18" t="str">
        <f aca="false">IF(OR(M151="",IFERROR(INDEX(Staff!$B$4:$B$33,MATCH(M151,Staff!$A$4:$A$33,0)),"")=""),"",HYPERLINK("mailto:"&amp;IFERROR(INDEX(Staff!$B$4:$B$33,MATCH(M151,Staff!$A$4:$A$33,0)),"")&amp;"?subject="&amp;SUBSTITUTE(SUBSTITUTE(SUBSTITUTE(SUBSTITUTE(SUBSTITUTE("Enquiry "&amp;A151&amp;" allocated to you - "&amp;D151,"%","%25"),"&amp;","%26")," ","%20"),"#","%23"),CHAR(10),"%0A")&amp;"&amp;body="&amp;SUBSTITUTE(SUBSTITUTE(SUBSTITUTE(SUBSTITUTE(SUBSTITUTE("Ref: "&amp;A151&amp;CHAR(10)&amp;"Customer: "&amp;D151&amp;"  "&amp;E151&amp;CHAR(10)&amp;"Phone: "&amp;F151&amp;CHAR(10)&amp;"Email: "&amp;G151&amp;CHAR(10)&amp;"Prefers: "&amp;H151&amp;CHAR(10)&amp;"Enquiry: "&amp;LEFT(I151,600)&amp;CHAR(10)&amp;CHAR(10)&amp;"Sent from the Preston Mazda enquiry log.","%","%25"),"&amp;","%26")," ","%20"),"#","%23"),CHAR(10),"%0A"),"✉ Email "&amp;M151))</f>
        <v/>
      </c>
      <c r="W151" s="18" t="str">
        <f aca="false">IF(OR(P151="",IFERROR(INDEX(Staff!$E$4:$E$33,MATCH(P151,Staff!$D$4:$D$33,0)),"")=""),"",HYPERLINK("mailto:"&amp;IFERROR(INDEX(Staff!$E$4:$E$33,MATCH(P151,Staff!$D$4:$D$33,0)),"")&amp;"?subject="&amp;SUBSTITUTE(SUBSTITUTE(SUBSTITUTE(SUBSTITUTE(SUBSTITUTE("Parts quote "&amp;A151&amp;" allocated to you - "&amp;D151,"%","%25"),"&amp;","%26")," ","%20"),"#","%23"),CHAR(10),"%0A")&amp;"&amp;body="&amp;SUBSTITUTE(SUBSTITUTE(SUBSTITUTE(SUBSTITUTE(SUBSTITUTE("Ref: "&amp;A151&amp;CHAR(10)&amp;"Customer: "&amp;D151&amp;"  "&amp;E151&amp;CHAR(10)&amp;"Phone: "&amp;F151&amp;CHAR(10)&amp;"Email: "&amp;G151&amp;CHAR(10)&amp;"Prefers: "&amp;H151&amp;CHAR(10)&amp;"Enquiry: "&amp;LEFT(I151,600)&amp;CHAR(10)&amp;CHAR(10)&amp;"Sent from the Preston Mazda enquiry log.","%","%25"),"&amp;","%26")," ","%20"),"#","%23"),CHAR(10),"%0A"),"✉ Email "&amp;P151))</f>
        <v/>
      </c>
    </row>
    <row r="152" customFormat="false" ht="15" hidden="false" customHeight="false" outlineLevel="0" collapsed="false">
      <c r="A152" s="10" t="str">
        <f aca="false">IF(D152="","","E-"&amp;TEXT(ROW()-3,"0000"))</f>
        <v/>
      </c>
      <c r="B152" s="11"/>
      <c r="C152" s="12"/>
      <c r="D152" s="13"/>
      <c r="E152" s="14"/>
      <c r="F152" s="12"/>
      <c r="G152" s="12"/>
      <c r="H152" s="15"/>
      <c r="I152" s="16"/>
      <c r="J152" s="17" t="str">
        <f aca="false">IF(D152="","",HYPERLINK(Settings!$B$7&amp;A152&amp;".pdf","Open "&amp;A152&amp;".pdf"))</f>
        <v/>
      </c>
      <c r="K152" s="16"/>
      <c r="L152" s="12"/>
      <c r="M152" s="12"/>
      <c r="N152" s="15"/>
      <c r="O152" s="15"/>
      <c r="P152" s="12"/>
      <c r="Q152" s="15"/>
      <c r="R152" s="15"/>
      <c r="S152" s="15" t="str">
        <f aca="false">IF(D152="","",IF(AND(O152="Yes",OR(Q152&lt;&gt;"Yes",R152="Yes")),"Complete","Open"))</f>
        <v/>
      </c>
      <c r="T152" s="18" t="str">
        <f aca="false">IF(AND(Q152="Yes",R152&lt;&gt;"Yes"),HYPERLINK("mailto:"&amp;Settings!$B$5&amp;"?subject="&amp;SUBSTITUTE(SUBSTITUTE(SUBSTITUTE(SUBSTITUTE(SUBSTITUTE("Parts quote required - "&amp;D152&amp;" "&amp;E152,"%","%25"),"&amp;","%26")," ","%20"),"#","%23"),CHAR(10),"%0A")&amp;"&amp;body="&amp;SUBSTITUTE(SUBSTITUTE(SUBSTITUTE(SUBSTITUTE(SUBSTITUTE("Ref: "&amp;A152&amp;CHAR(10)&amp;"Customer: "&amp;D152&amp;"  "&amp;E152&amp;CHAR(10)&amp;"Phone: "&amp;F152&amp;CHAR(10)&amp;"Email: "&amp;G152&amp;CHAR(10)&amp;"Prefers: "&amp;H152&amp;CHAR(10)&amp;"Enquiry: "&amp;LEFT(I152,600)&amp;CHAR(10)&amp;CHAR(10)&amp;"Sent from the Preston Mazda enquiry log.","%","%25"),"&amp;","%26")," ","%20"),"#","%23"),CHAR(10),"%0A"),"✉ Email parts"),"")</f>
        <v/>
      </c>
      <c r="U152" s="18" t="str">
        <f aca="false">IF(AND(N152="Yes",O152&lt;&gt;"Yes"),HYPERLINK("mailto:"&amp;Settings!$B$6&amp;"?subject="&amp;SUBSTITUTE(SUBSTITUTE(SUBSTITUTE(SUBSTITUTE(SUBSTITUTE("Customer contact required - "&amp;D152&amp;" "&amp;E152,"%","%25"),"&amp;","%26")," ","%20"),"#","%23"),CHAR(10),"%0A")&amp;"&amp;body="&amp;SUBSTITUTE(SUBSTITUTE(SUBSTITUTE(SUBSTITUTE(SUBSTITUTE("Ref: "&amp;A152&amp;CHAR(10)&amp;"Customer: "&amp;D152&amp;"  "&amp;E152&amp;CHAR(10)&amp;"Phone: "&amp;F152&amp;CHAR(10)&amp;"Email: "&amp;G152&amp;CHAR(10)&amp;"Prefers: "&amp;H152&amp;CHAR(10)&amp;"Enquiry: "&amp;LEFT(I152,600)&amp;CHAR(10)&amp;CHAR(10)&amp;"Sent from the Preston Mazda enquiry log.","%","%25"),"&amp;","%26")," ","%20"),"#","%23"),CHAR(10),"%0A"),"✉ Email advisors"),"")</f>
        <v/>
      </c>
      <c r="V152" s="18" t="str">
        <f aca="false">IF(OR(M152="",IFERROR(INDEX(Staff!$B$4:$B$33,MATCH(M152,Staff!$A$4:$A$33,0)),"")=""),"",HYPERLINK("mailto:"&amp;IFERROR(INDEX(Staff!$B$4:$B$33,MATCH(M152,Staff!$A$4:$A$33,0)),"")&amp;"?subject="&amp;SUBSTITUTE(SUBSTITUTE(SUBSTITUTE(SUBSTITUTE(SUBSTITUTE("Enquiry "&amp;A152&amp;" allocated to you - "&amp;D152,"%","%25"),"&amp;","%26")," ","%20"),"#","%23"),CHAR(10),"%0A")&amp;"&amp;body="&amp;SUBSTITUTE(SUBSTITUTE(SUBSTITUTE(SUBSTITUTE(SUBSTITUTE("Ref: "&amp;A152&amp;CHAR(10)&amp;"Customer: "&amp;D152&amp;"  "&amp;E152&amp;CHAR(10)&amp;"Phone: "&amp;F152&amp;CHAR(10)&amp;"Email: "&amp;G152&amp;CHAR(10)&amp;"Prefers: "&amp;H152&amp;CHAR(10)&amp;"Enquiry: "&amp;LEFT(I152,600)&amp;CHAR(10)&amp;CHAR(10)&amp;"Sent from the Preston Mazda enquiry log.","%","%25"),"&amp;","%26")," ","%20"),"#","%23"),CHAR(10),"%0A"),"✉ Email "&amp;M152))</f>
        <v/>
      </c>
      <c r="W152" s="18" t="str">
        <f aca="false">IF(OR(P152="",IFERROR(INDEX(Staff!$E$4:$E$33,MATCH(P152,Staff!$D$4:$D$33,0)),"")=""),"",HYPERLINK("mailto:"&amp;IFERROR(INDEX(Staff!$E$4:$E$33,MATCH(P152,Staff!$D$4:$D$33,0)),"")&amp;"?subject="&amp;SUBSTITUTE(SUBSTITUTE(SUBSTITUTE(SUBSTITUTE(SUBSTITUTE("Parts quote "&amp;A152&amp;" allocated to you - "&amp;D152,"%","%25"),"&amp;","%26")," ","%20"),"#","%23"),CHAR(10),"%0A")&amp;"&amp;body="&amp;SUBSTITUTE(SUBSTITUTE(SUBSTITUTE(SUBSTITUTE(SUBSTITUTE("Ref: "&amp;A152&amp;CHAR(10)&amp;"Customer: "&amp;D152&amp;"  "&amp;E152&amp;CHAR(10)&amp;"Phone: "&amp;F152&amp;CHAR(10)&amp;"Email: "&amp;G152&amp;CHAR(10)&amp;"Prefers: "&amp;H152&amp;CHAR(10)&amp;"Enquiry: "&amp;LEFT(I152,600)&amp;CHAR(10)&amp;CHAR(10)&amp;"Sent from the Preston Mazda enquiry log.","%","%25"),"&amp;","%26")," ","%20"),"#","%23"),CHAR(10),"%0A"),"✉ Email "&amp;P152))</f>
        <v/>
      </c>
    </row>
    <row r="153" customFormat="false" ht="15" hidden="false" customHeight="false" outlineLevel="0" collapsed="false">
      <c r="A153" s="10" t="str">
        <f aca="false">IF(D153="","","E-"&amp;TEXT(ROW()-3,"0000"))</f>
        <v/>
      </c>
      <c r="B153" s="11"/>
      <c r="C153" s="12"/>
      <c r="D153" s="13"/>
      <c r="E153" s="14"/>
      <c r="F153" s="12"/>
      <c r="G153" s="12"/>
      <c r="H153" s="15"/>
      <c r="I153" s="16"/>
      <c r="J153" s="17" t="str">
        <f aca="false">IF(D153="","",HYPERLINK(Settings!$B$7&amp;A153&amp;".pdf","Open "&amp;A153&amp;".pdf"))</f>
        <v/>
      </c>
      <c r="K153" s="16"/>
      <c r="L153" s="12"/>
      <c r="M153" s="12"/>
      <c r="N153" s="15"/>
      <c r="O153" s="15"/>
      <c r="P153" s="12"/>
      <c r="Q153" s="15"/>
      <c r="R153" s="15"/>
      <c r="S153" s="15" t="str">
        <f aca="false">IF(D153="","",IF(AND(O153="Yes",OR(Q153&lt;&gt;"Yes",R153="Yes")),"Complete","Open"))</f>
        <v/>
      </c>
      <c r="T153" s="18" t="str">
        <f aca="false">IF(AND(Q153="Yes",R153&lt;&gt;"Yes"),HYPERLINK("mailto:"&amp;Settings!$B$5&amp;"?subject="&amp;SUBSTITUTE(SUBSTITUTE(SUBSTITUTE(SUBSTITUTE(SUBSTITUTE("Parts quote required - "&amp;D153&amp;" "&amp;E153,"%","%25"),"&amp;","%26")," ","%20"),"#","%23"),CHAR(10),"%0A")&amp;"&amp;body="&amp;SUBSTITUTE(SUBSTITUTE(SUBSTITUTE(SUBSTITUTE(SUBSTITUTE("Ref: "&amp;A153&amp;CHAR(10)&amp;"Customer: "&amp;D153&amp;"  "&amp;E153&amp;CHAR(10)&amp;"Phone: "&amp;F153&amp;CHAR(10)&amp;"Email: "&amp;G153&amp;CHAR(10)&amp;"Prefers: "&amp;H153&amp;CHAR(10)&amp;"Enquiry: "&amp;LEFT(I153,600)&amp;CHAR(10)&amp;CHAR(10)&amp;"Sent from the Preston Mazda enquiry log.","%","%25"),"&amp;","%26")," ","%20"),"#","%23"),CHAR(10),"%0A"),"✉ Email parts"),"")</f>
        <v/>
      </c>
      <c r="U153" s="18" t="str">
        <f aca="false">IF(AND(N153="Yes",O153&lt;&gt;"Yes"),HYPERLINK("mailto:"&amp;Settings!$B$6&amp;"?subject="&amp;SUBSTITUTE(SUBSTITUTE(SUBSTITUTE(SUBSTITUTE(SUBSTITUTE("Customer contact required - "&amp;D153&amp;" "&amp;E153,"%","%25"),"&amp;","%26")," ","%20"),"#","%23"),CHAR(10),"%0A")&amp;"&amp;body="&amp;SUBSTITUTE(SUBSTITUTE(SUBSTITUTE(SUBSTITUTE(SUBSTITUTE("Ref: "&amp;A153&amp;CHAR(10)&amp;"Customer: "&amp;D153&amp;"  "&amp;E153&amp;CHAR(10)&amp;"Phone: "&amp;F153&amp;CHAR(10)&amp;"Email: "&amp;G153&amp;CHAR(10)&amp;"Prefers: "&amp;H153&amp;CHAR(10)&amp;"Enquiry: "&amp;LEFT(I153,600)&amp;CHAR(10)&amp;CHAR(10)&amp;"Sent from the Preston Mazda enquiry log.","%","%25"),"&amp;","%26")," ","%20"),"#","%23"),CHAR(10),"%0A"),"✉ Email advisors"),"")</f>
        <v/>
      </c>
      <c r="V153" s="18" t="str">
        <f aca="false">IF(OR(M153="",IFERROR(INDEX(Staff!$B$4:$B$33,MATCH(M153,Staff!$A$4:$A$33,0)),"")=""),"",HYPERLINK("mailto:"&amp;IFERROR(INDEX(Staff!$B$4:$B$33,MATCH(M153,Staff!$A$4:$A$33,0)),"")&amp;"?subject="&amp;SUBSTITUTE(SUBSTITUTE(SUBSTITUTE(SUBSTITUTE(SUBSTITUTE("Enquiry "&amp;A153&amp;" allocated to you - "&amp;D153,"%","%25"),"&amp;","%26")," ","%20"),"#","%23"),CHAR(10),"%0A")&amp;"&amp;body="&amp;SUBSTITUTE(SUBSTITUTE(SUBSTITUTE(SUBSTITUTE(SUBSTITUTE("Ref: "&amp;A153&amp;CHAR(10)&amp;"Customer: "&amp;D153&amp;"  "&amp;E153&amp;CHAR(10)&amp;"Phone: "&amp;F153&amp;CHAR(10)&amp;"Email: "&amp;G153&amp;CHAR(10)&amp;"Prefers: "&amp;H153&amp;CHAR(10)&amp;"Enquiry: "&amp;LEFT(I153,600)&amp;CHAR(10)&amp;CHAR(10)&amp;"Sent from the Preston Mazda enquiry log.","%","%25"),"&amp;","%26")," ","%20"),"#","%23"),CHAR(10),"%0A"),"✉ Email "&amp;M153))</f>
        <v/>
      </c>
      <c r="W153" s="18" t="str">
        <f aca="false">IF(OR(P153="",IFERROR(INDEX(Staff!$E$4:$E$33,MATCH(P153,Staff!$D$4:$D$33,0)),"")=""),"",HYPERLINK("mailto:"&amp;IFERROR(INDEX(Staff!$E$4:$E$33,MATCH(P153,Staff!$D$4:$D$33,0)),"")&amp;"?subject="&amp;SUBSTITUTE(SUBSTITUTE(SUBSTITUTE(SUBSTITUTE(SUBSTITUTE("Parts quote "&amp;A153&amp;" allocated to you - "&amp;D153,"%","%25"),"&amp;","%26")," ","%20"),"#","%23"),CHAR(10),"%0A")&amp;"&amp;body="&amp;SUBSTITUTE(SUBSTITUTE(SUBSTITUTE(SUBSTITUTE(SUBSTITUTE("Ref: "&amp;A153&amp;CHAR(10)&amp;"Customer: "&amp;D153&amp;"  "&amp;E153&amp;CHAR(10)&amp;"Phone: "&amp;F153&amp;CHAR(10)&amp;"Email: "&amp;G153&amp;CHAR(10)&amp;"Prefers: "&amp;H153&amp;CHAR(10)&amp;"Enquiry: "&amp;LEFT(I153,600)&amp;CHAR(10)&amp;CHAR(10)&amp;"Sent from the Preston Mazda enquiry log.","%","%25"),"&amp;","%26")," ","%20"),"#","%23"),CHAR(10),"%0A"),"✉ Email "&amp;P153))</f>
        <v/>
      </c>
    </row>
    <row r="154" customFormat="false" ht="15" hidden="false" customHeight="false" outlineLevel="0" collapsed="false">
      <c r="A154" s="10" t="str">
        <f aca="false">IF(D154="","","E-"&amp;TEXT(ROW()-3,"0000"))</f>
        <v/>
      </c>
      <c r="B154" s="11"/>
      <c r="C154" s="12"/>
      <c r="D154" s="13"/>
      <c r="E154" s="14"/>
      <c r="F154" s="12"/>
      <c r="G154" s="12"/>
      <c r="H154" s="15"/>
      <c r="I154" s="16"/>
      <c r="J154" s="17" t="str">
        <f aca="false">IF(D154="","",HYPERLINK(Settings!$B$7&amp;A154&amp;".pdf","Open "&amp;A154&amp;".pdf"))</f>
        <v/>
      </c>
      <c r="K154" s="16"/>
      <c r="L154" s="12"/>
      <c r="M154" s="12"/>
      <c r="N154" s="15"/>
      <c r="O154" s="15"/>
      <c r="P154" s="12"/>
      <c r="Q154" s="15"/>
      <c r="R154" s="15"/>
      <c r="S154" s="15" t="str">
        <f aca="false">IF(D154="","",IF(AND(O154="Yes",OR(Q154&lt;&gt;"Yes",R154="Yes")),"Complete","Open"))</f>
        <v/>
      </c>
      <c r="T154" s="18" t="str">
        <f aca="false">IF(AND(Q154="Yes",R154&lt;&gt;"Yes"),HYPERLINK("mailto:"&amp;Settings!$B$5&amp;"?subject="&amp;SUBSTITUTE(SUBSTITUTE(SUBSTITUTE(SUBSTITUTE(SUBSTITUTE("Parts quote required - "&amp;D154&amp;" "&amp;E154,"%","%25"),"&amp;","%26")," ","%20"),"#","%23"),CHAR(10),"%0A")&amp;"&amp;body="&amp;SUBSTITUTE(SUBSTITUTE(SUBSTITUTE(SUBSTITUTE(SUBSTITUTE("Ref: "&amp;A154&amp;CHAR(10)&amp;"Customer: "&amp;D154&amp;"  "&amp;E154&amp;CHAR(10)&amp;"Phone: "&amp;F154&amp;CHAR(10)&amp;"Email: "&amp;G154&amp;CHAR(10)&amp;"Prefers: "&amp;H154&amp;CHAR(10)&amp;"Enquiry: "&amp;LEFT(I154,600)&amp;CHAR(10)&amp;CHAR(10)&amp;"Sent from the Preston Mazda enquiry log.","%","%25"),"&amp;","%26")," ","%20"),"#","%23"),CHAR(10),"%0A"),"✉ Email parts"),"")</f>
        <v/>
      </c>
      <c r="U154" s="18" t="str">
        <f aca="false">IF(AND(N154="Yes",O154&lt;&gt;"Yes"),HYPERLINK("mailto:"&amp;Settings!$B$6&amp;"?subject="&amp;SUBSTITUTE(SUBSTITUTE(SUBSTITUTE(SUBSTITUTE(SUBSTITUTE("Customer contact required - "&amp;D154&amp;" "&amp;E154,"%","%25"),"&amp;","%26")," ","%20"),"#","%23"),CHAR(10),"%0A")&amp;"&amp;body="&amp;SUBSTITUTE(SUBSTITUTE(SUBSTITUTE(SUBSTITUTE(SUBSTITUTE("Ref: "&amp;A154&amp;CHAR(10)&amp;"Customer: "&amp;D154&amp;"  "&amp;E154&amp;CHAR(10)&amp;"Phone: "&amp;F154&amp;CHAR(10)&amp;"Email: "&amp;G154&amp;CHAR(10)&amp;"Prefers: "&amp;H154&amp;CHAR(10)&amp;"Enquiry: "&amp;LEFT(I154,600)&amp;CHAR(10)&amp;CHAR(10)&amp;"Sent from the Preston Mazda enquiry log.","%","%25"),"&amp;","%26")," ","%20"),"#","%23"),CHAR(10),"%0A"),"✉ Email advisors"),"")</f>
        <v/>
      </c>
      <c r="V154" s="18" t="str">
        <f aca="false">IF(OR(M154="",IFERROR(INDEX(Staff!$B$4:$B$33,MATCH(M154,Staff!$A$4:$A$33,0)),"")=""),"",HYPERLINK("mailto:"&amp;IFERROR(INDEX(Staff!$B$4:$B$33,MATCH(M154,Staff!$A$4:$A$33,0)),"")&amp;"?subject="&amp;SUBSTITUTE(SUBSTITUTE(SUBSTITUTE(SUBSTITUTE(SUBSTITUTE("Enquiry "&amp;A154&amp;" allocated to you - "&amp;D154,"%","%25"),"&amp;","%26")," ","%20"),"#","%23"),CHAR(10),"%0A")&amp;"&amp;body="&amp;SUBSTITUTE(SUBSTITUTE(SUBSTITUTE(SUBSTITUTE(SUBSTITUTE("Ref: "&amp;A154&amp;CHAR(10)&amp;"Customer: "&amp;D154&amp;"  "&amp;E154&amp;CHAR(10)&amp;"Phone: "&amp;F154&amp;CHAR(10)&amp;"Email: "&amp;G154&amp;CHAR(10)&amp;"Prefers: "&amp;H154&amp;CHAR(10)&amp;"Enquiry: "&amp;LEFT(I154,600)&amp;CHAR(10)&amp;CHAR(10)&amp;"Sent from the Preston Mazda enquiry log.","%","%25"),"&amp;","%26")," ","%20"),"#","%23"),CHAR(10),"%0A"),"✉ Email "&amp;M154))</f>
        <v/>
      </c>
      <c r="W154" s="18" t="str">
        <f aca="false">IF(OR(P154="",IFERROR(INDEX(Staff!$E$4:$E$33,MATCH(P154,Staff!$D$4:$D$33,0)),"")=""),"",HYPERLINK("mailto:"&amp;IFERROR(INDEX(Staff!$E$4:$E$33,MATCH(P154,Staff!$D$4:$D$33,0)),"")&amp;"?subject="&amp;SUBSTITUTE(SUBSTITUTE(SUBSTITUTE(SUBSTITUTE(SUBSTITUTE("Parts quote "&amp;A154&amp;" allocated to you - "&amp;D154,"%","%25"),"&amp;","%26")," ","%20"),"#","%23"),CHAR(10),"%0A")&amp;"&amp;body="&amp;SUBSTITUTE(SUBSTITUTE(SUBSTITUTE(SUBSTITUTE(SUBSTITUTE("Ref: "&amp;A154&amp;CHAR(10)&amp;"Customer: "&amp;D154&amp;"  "&amp;E154&amp;CHAR(10)&amp;"Phone: "&amp;F154&amp;CHAR(10)&amp;"Email: "&amp;G154&amp;CHAR(10)&amp;"Prefers: "&amp;H154&amp;CHAR(10)&amp;"Enquiry: "&amp;LEFT(I154,600)&amp;CHAR(10)&amp;CHAR(10)&amp;"Sent from the Preston Mazda enquiry log.","%","%25"),"&amp;","%26")," ","%20"),"#","%23"),CHAR(10),"%0A"),"✉ Email "&amp;P154))</f>
        <v/>
      </c>
    </row>
    <row r="155" customFormat="false" ht="15" hidden="false" customHeight="false" outlineLevel="0" collapsed="false">
      <c r="A155" s="10" t="str">
        <f aca="false">IF(D155="","","E-"&amp;TEXT(ROW()-3,"0000"))</f>
        <v/>
      </c>
      <c r="B155" s="11"/>
      <c r="C155" s="12"/>
      <c r="D155" s="13"/>
      <c r="E155" s="14"/>
      <c r="F155" s="12"/>
      <c r="G155" s="12"/>
      <c r="H155" s="15"/>
      <c r="I155" s="16"/>
      <c r="J155" s="17" t="str">
        <f aca="false">IF(D155="","",HYPERLINK(Settings!$B$7&amp;A155&amp;".pdf","Open "&amp;A155&amp;".pdf"))</f>
        <v/>
      </c>
      <c r="K155" s="16"/>
      <c r="L155" s="12"/>
      <c r="M155" s="12"/>
      <c r="N155" s="15"/>
      <c r="O155" s="15"/>
      <c r="P155" s="12"/>
      <c r="Q155" s="15"/>
      <c r="R155" s="15"/>
      <c r="S155" s="15" t="str">
        <f aca="false">IF(D155="","",IF(AND(O155="Yes",OR(Q155&lt;&gt;"Yes",R155="Yes")),"Complete","Open"))</f>
        <v/>
      </c>
      <c r="T155" s="18" t="str">
        <f aca="false">IF(AND(Q155="Yes",R155&lt;&gt;"Yes"),HYPERLINK("mailto:"&amp;Settings!$B$5&amp;"?subject="&amp;SUBSTITUTE(SUBSTITUTE(SUBSTITUTE(SUBSTITUTE(SUBSTITUTE("Parts quote required - "&amp;D155&amp;" "&amp;E155,"%","%25"),"&amp;","%26")," ","%20"),"#","%23"),CHAR(10),"%0A")&amp;"&amp;body="&amp;SUBSTITUTE(SUBSTITUTE(SUBSTITUTE(SUBSTITUTE(SUBSTITUTE("Ref: "&amp;A155&amp;CHAR(10)&amp;"Customer: "&amp;D155&amp;"  "&amp;E155&amp;CHAR(10)&amp;"Phone: "&amp;F155&amp;CHAR(10)&amp;"Email: "&amp;G155&amp;CHAR(10)&amp;"Prefers: "&amp;H155&amp;CHAR(10)&amp;"Enquiry: "&amp;LEFT(I155,600)&amp;CHAR(10)&amp;CHAR(10)&amp;"Sent from the Preston Mazda enquiry log.","%","%25"),"&amp;","%26")," ","%20"),"#","%23"),CHAR(10),"%0A"),"✉ Email parts"),"")</f>
        <v/>
      </c>
      <c r="U155" s="18" t="str">
        <f aca="false">IF(AND(N155="Yes",O155&lt;&gt;"Yes"),HYPERLINK("mailto:"&amp;Settings!$B$6&amp;"?subject="&amp;SUBSTITUTE(SUBSTITUTE(SUBSTITUTE(SUBSTITUTE(SUBSTITUTE("Customer contact required - "&amp;D155&amp;" "&amp;E155,"%","%25"),"&amp;","%26")," ","%20"),"#","%23"),CHAR(10),"%0A")&amp;"&amp;body="&amp;SUBSTITUTE(SUBSTITUTE(SUBSTITUTE(SUBSTITUTE(SUBSTITUTE("Ref: "&amp;A155&amp;CHAR(10)&amp;"Customer: "&amp;D155&amp;"  "&amp;E155&amp;CHAR(10)&amp;"Phone: "&amp;F155&amp;CHAR(10)&amp;"Email: "&amp;G155&amp;CHAR(10)&amp;"Prefers: "&amp;H155&amp;CHAR(10)&amp;"Enquiry: "&amp;LEFT(I155,600)&amp;CHAR(10)&amp;CHAR(10)&amp;"Sent from the Preston Mazda enquiry log.","%","%25"),"&amp;","%26")," ","%20"),"#","%23"),CHAR(10),"%0A"),"✉ Email advisors"),"")</f>
        <v/>
      </c>
      <c r="V155" s="18" t="str">
        <f aca="false">IF(OR(M155="",IFERROR(INDEX(Staff!$B$4:$B$33,MATCH(M155,Staff!$A$4:$A$33,0)),"")=""),"",HYPERLINK("mailto:"&amp;IFERROR(INDEX(Staff!$B$4:$B$33,MATCH(M155,Staff!$A$4:$A$33,0)),"")&amp;"?subject="&amp;SUBSTITUTE(SUBSTITUTE(SUBSTITUTE(SUBSTITUTE(SUBSTITUTE("Enquiry "&amp;A155&amp;" allocated to you - "&amp;D155,"%","%25"),"&amp;","%26")," ","%20"),"#","%23"),CHAR(10),"%0A")&amp;"&amp;body="&amp;SUBSTITUTE(SUBSTITUTE(SUBSTITUTE(SUBSTITUTE(SUBSTITUTE("Ref: "&amp;A155&amp;CHAR(10)&amp;"Customer: "&amp;D155&amp;"  "&amp;E155&amp;CHAR(10)&amp;"Phone: "&amp;F155&amp;CHAR(10)&amp;"Email: "&amp;G155&amp;CHAR(10)&amp;"Prefers: "&amp;H155&amp;CHAR(10)&amp;"Enquiry: "&amp;LEFT(I155,600)&amp;CHAR(10)&amp;CHAR(10)&amp;"Sent from the Preston Mazda enquiry log.","%","%25"),"&amp;","%26")," ","%20"),"#","%23"),CHAR(10),"%0A"),"✉ Email "&amp;M155))</f>
        <v/>
      </c>
      <c r="W155" s="18" t="str">
        <f aca="false">IF(OR(P155="",IFERROR(INDEX(Staff!$E$4:$E$33,MATCH(P155,Staff!$D$4:$D$33,0)),"")=""),"",HYPERLINK("mailto:"&amp;IFERROR(INDEX(Staff!$E$4:$E$33,MATCH(P155,Staff!$D$4:$D$33,0)),"")&amp;"?subject="&amp;SUBSTITUTE(SUBSTITUTE(SUBSTITUTE(SUBSTITUTE(SUBSTITUTE("Parts quote "&amp;A155&amp;" allocated to you - "&amp;D155,"%","%25"),"&amp;","%26")," ","%20"),"#","%23"),CHAR(10),"%0A")&amp;"&amp;body="&amp;SUBSTITUTE(SUBSTITUTE(SUBSTITUTE(SUBSTITUTE(SUBSTITUTE("Ref: "&amp;A155&amp;CHAR(10)&amp;"Customer: "&amp;D155&amp;"  "&amp;E155&amp;CHAR(10)&amp;"Phone: "&amp;F155&amp;CHAR(10)&amp;"Email: "&amp;G155&amp;CHAR(10)&amp;"Prefers: "&amp;H155&amp;CHAR(10)&amp;"Enquiry: "&amp;LEFT(I155,600)&amp;CHAR(10)&amp;CHAR(10)&amp;"Sent from the Preston Mazda enquiry log.","%","%25"),"&amp;","%26")," ","%20"),"#","%23"),CHAR(10),"%0A"),"✉ Email "&amp;P155))</f>
        <v/>
      </c>
    </row>
    <row r="156" customFormat="false" ht="15" hidden="false" customHeight="false" outlineLevel="0" collapsed="false">
      <c r="A156" s="10" t="str">
        <f aca="false">IF(D156="","","E-"&amp;TEXT(ROW()-3,"0000"))</f>
        <v/>
      </c>
      <c r="B156" s="11"/>
      <c r="C156" s="12"/>
      <c r="D156" s="13"/>
      <c r="E156" s="14"/>
      <c r="F156" s="12"/>
      <c r="G156" s="12"/>
      <c r="H156" s="15"/>
      <c r="I156" s="16"/>
      <c r="J156" s="17" t="str">
        <f aca="false">IF(D156="","",HYPERLINK(Settings!$B$7&amp;A156&amp;".pdf","Open "&amp;A156&amp;".pdf"))</f>
        <v/>
      </c>
      <c r="K156" s="16"/>
      <c r="L156" s="12"/>
      <c r="M156" s="12"/>
      <c r="N156" s="15"/>
      <c r="O156" s="15"/>
      <c r="P156" s="12"/>
      <c r="Q156" s="15"/>
      <c r="R156" s="15"/>
      <c r="S156" s="15" t="str">
        <f aca="false">IF(D156="","",IF(AND(O156="Yes",OR(Q156&lt;&gt;"Yes",R156="Yes")),"Complete","Open"))</f>
        <v/>
      </c>
      <c r="T156" s="18" t="str">
        <f aca="false">IF(AND(Q156="Yes",R156&lt;&gt;"Yes"),HYPERLINK("mailto:"&amp;Settings!$B$5&amp;"?subject="&amp;SUBSTITUTE(SUBSTITUTE(SUBSTITUTE(SUBSTITUTE(SUBSTITUTE("Parts quote required - "&amp;D156&amp;" "&amp;E156,"%","%25"),"&amp;","%26")," ","%20"),"#","%23"),CHAR(10),"%0A")&amp;"&amp;body="&amp;SUBSTITUTE(SUBSTITUTE(SUBSTITUTE(SUBSTITUTE(SUBSTITUTE("Ref: "&amp;A156&amp;CHAR(10)&amp;"Customer: "&amp;D156&amp;"  "&amp;E156&amp;CHAR(10)&amp;"Phone: "&amp;F156&amp;CHAR(10)&amp;"Email: "&amp;G156&amp;CHAR(10)&amp;"Prefers: "&amp;H156&amp;CHAR(10)&amp;"Enquiry: "&amp;LEFT(I156,600)&amp;CHAR(10)&amp;CHAR(10)&amp;"Sent from the Preston Mazda enquiry log.","%","%25"),"&amp;","%26")," ","%20"),"#","%23"),CHAR(10),"%0A"),"✉ Email parts"),"")</f>
        <v/>
      </c>
      <c r="U156" s="18" t="str">
        <f aca="false">IF(AND(N156="Yes",O156&lt;&gt;"Yes"),HYPERLINK("mailto:"&amp;Settings!$B$6&amp;"?subject="&amp;SUBSTITUTE(SUBSTITUTE(SUBSTITUTE(SUBSTITUTE(SUBSTITUTE("Customer contact required - "&amp;D156&amp;" "&amp;E156,"%","%25"),"&amp;","%26")," ","%20"),"#","%23"),CHAR(10),"%0A")&amp;"&amp;body="&amp;SUBSTITUTE(SUBSTITUTE(SUBSTITUTE(SUBSTITUTE(SUBSTITUTE("Ref: "&amp;A156&amp;CHAR(10)&amp;"Customer: "&amp;D156&amp;"  "&amp;E156&amp;CHAR(10)&amp;"Phone: "&amp;F156&amp;CHAR(10)&amp;"Email: "&amp;G156&amp;CHAR(10)&amp;"Prefers: "&amp;H156&amp;CHAR(10)&amp;"Enquiry: "&amp;LEFT(I156,600)&amp;CHAR(10)&amp;CHAR(10)&amp;"Sent from the Preston Mazda enquiry log.","%","%25"),"&amp;","%26")," ","%20"),"#","%23"),CHAR(10),"%0A"),"✉ Email advisors"),"")</f>
        <v/>
      </c>
      <c r="V156" s="18" t="str">
        <f aca="false">IF(OR(M156="",IFERROR(INDEX(Staff!$B$4:$B$33,MATCH(M156,Staff!$A$4:$A$33,0)),"")=""),"",HYPERLINK("mailto:"&amp;IFERROR(INDEX(Staff!$B$4:$B$33,MATCH(M156,Staff!$A$4:$A$33,0)),"")&amp;"?subject="&amp;SUBSTITUTE(SUBSTITUTE(SUBSTITUTE(SUBSTITUTE(SUBSTITUTE("Enquiry "&amp;A156&amp;" allocated to you - "&amp;D156,"%","%25"),"&amp;","%26")," ","%20"),"#","%23"),CHAR(10),"%0A")&amp;"&amp;body="&amp;SUBSTITUTE(SUBSTITUTE(SUBSTITUTE(SUBSTITUTE(SUBSTITUTE("Ref: "&amp;A156&amp;CHAR(10)&amp;"Customer: "&amp;D156&amp;"  "&amp;E156&amp;CHAR(10)&amp;"Phone: "&amp;F156&amp;CHAR(10)&amp;"Email: "&amp;G156&amp;CHAR(10)&amp;"Prefers: "&amp;H156&amp;CHAR(10)&amp;"Enquiry: "&amp;LEFT(I156,600)&amp;CHAR(10)&amp;CHAR(10)&amp;"Sent from the Preston Mazda enquiry log.","%","%25"),"&amp;","%26")," ","%20"),"#","%23"),CHAR(10),"%0A"),"✉ Email "&amp;M156))</f>
        <v/>
      </c>
      <c r="W156" s="18" t="str">
        <f aca="false">IF(OR(P156="",IFERROR(INDEX(Staff!$E$4:$E$33,MATCH(P156,Staff!$D$4:$D$33,0)),"")=""),"",HYPERLINK("mailto:"&amp;IFERROR(INDEX(Staff!$E$4:$E$33,MATCH(P156,Staff!$D$4:$D$33,0)),"")&amp;"?subject="&amp;SUBSTITUTE(SUBSTITUTE(SUBSTITUTE(SUBSTITUTE(SUBSTITUTE("Parts quote "&amp;A156&amp;" allocated to you - "&amp;D156,"%","%25"),"&amp;","%26")," ","%20"),"#","%23"),CHAR(10),"%0A")&amp;"&amp;body="&amp;SUBSTITUTE(SUBSTITUTE(SUBSTITUTE(SUBSTITUTE(SUBSTITUTE("Ref: "&amp;A156&amp;CHAR(10)&amp;"Customer: "&amp;D156&amp;"  "&amp;E156&amp;CHAR(10)&amp;"Phone: "&amp;F156&amp;CHAR(10)&amp;"Email: "&amp;G156&amp;CHAR(10)&amp;"Prefers: "&amp;H156&amp;CHAR(10)&amp;"Enquiry: "&amp;LEFT(I156,600)&amp;CHAR(10)&amp;CHAR(10)&amp;"Sent from the Preston Mazda enquiry log.","%","%25"),"&amp;","%26")," ","%20"),"#","%23"),CHAR(10),"%0A"),"✉ Email "&amp;P156))</f>
        <v/>
      </c>
    </row>
    <row r="157" customFormat="false" ht="15" hidden="false" customHeight="false" outlineLevel="0" collapsed="false">
      <c r="A157" s="10" t="str">
        <f aca="false">IF(D157="","","E-"&amp;TEXT(ROW()-3,"0000"))</f>
        <v/>
      </c>
      <c r="B157" s="11"/>
      <c r="C157" s="12"/>
      <c r="D157" s="13"/>
      <c r="E157" s="14"/>
      <c r="F157" s="12"/>
      <c r="G157" s="12"/>
      <c r="H157" s="15"/>
      <c r="I157" s="16"/>
      <c r="J157" s="17" t="str">
        <f aca="false">IF(D157="","",HYPERLINK(Settings!$B$7&amp;A157&amp;".pdf","Open "&amp;A157&amp;".pdf"))</f>
        <v/>
      </c>
      <c r="K157" s="16"/>
      <c r="L157" s="12"/>
      <c r="M157" s="12"/>
      <c r="N157" s="15"/>
      <c r="O157" s="15"/>
      <c r="P157" s="12"/>
      <c r="Q157" s="15"/>
      <c r="R157" s="15"/>
      <c r="S157" s="15" t="str">
        <f aca="false">IF(D157="","",IF(AND(O157="Yes",OR(Q157&lt;&gt;"Yes",R157="Yes")),"Complete","Open"))</f>
        <v/>
      </c>
      <c r="T157" s="18" t="str">
        <f aca="false">IF(AND(Q157="Yes",R157&lt;&gt;"Yes"),HYPERLINK("mailto:"&amp;Settings!$B$5&amp;"?subject="&amp;SUBSTITUTE(SUBSTITUTE(SUBSTITUTE(SUBSTITUTE(SUBSTITUTE("Parts quote required - "&amp;D157&amp;" "&amp;E157,"%","%25"),"&amp;","%26")," ","%20"),"#","%23"),CHAR(10),"%0A")&amp;"&amp;body="&amp;SUBSTITUTE(SUBSTITUTE(SUBSTITUTE(SUBSTITUTE(SUBSTITUTE("Ref: "&amp;A157&amp;CHAR(10)&amp;"Customer: "&amp;D157&amp;"  "&amp;E157&amp;CHAR(10)&amp;"Phone: "&amp;F157&amp;CHAR(10)&amp;"Email: "&amp;G157&amp;CHAR(10)&amp;"Prefers: "&amp;H157&amp;CHAR(10)&amp;"Enquiry: "&amp;LEFT(I157,600)&amp;CHAR(10)&amp;CHAR(10)&amp;"Sent from the Preston Mazda enquiry log.","%","%25"),"&amp;","%26")," ","%20"),"#","%23"),CHAR(10),"%0A"),"✉ Email parts"),"")</f>
        <v/>
      </c>
      <c r="U157" s="18" t="str">
        <f aca="false">IF(AND(N157="Yes",O157&lt;&gt;"Yes"),HYPERLINK("mailto:"&amp;Settings!$B$6&amp;"?subject="&amp;SUBSTITUTE(SUBSTITUTE(SUBSTITUTE(SUBSTITUTE(SUBSTITUTE("Customer contact required - "&amp;D157&amp;" "&amp;E157,"%","%25"),"&amp;","%26")," ","%20"),"#","%23"),CHAR(10),"%0A")&amp;"&amp;body="&amp;SUBSTITUTE(SUBSTITUTE(SUBSTITUTE(SUBSTITUTE(SUBSTITUTE("Ref: "&amp;A157&amp;CHAR(10)&amp;"Customer: "&amp;D157&amp;"  "&amp;E157&amp;CHAR(10)&amp;"Phone: "&amp;F157&amp;CHAR(10)&amp;"Email: "&amp;G157&amp;CHAR(10)&amp;"Prefers: "&amp;H157&amp;CHAR(10)&amp;"Enquiry: "&amp;LEFT(I157,600)&amp;CHAR(10)&amp;CHAR(10)&amp;"Sent from the Preston Mazda enquiry log.","%","%25"),"&amp;","%26")," ","%20"),"#","%23"),CHAR(10),"%0A"),"✉ Email advisors"),"")</f>
        <v/>
      </c>
      <c r="V157" s="18" t="str">
        <f aca="false">IF(OR(M157="",IFERROR(INDEX(Staff!$B$4:$B$33,MATCH(M157,Staff!$A$4:$A$33,0)),"")=""),"",HYPERLINK("mailto:"&amp;IFERROR(INDEX(Staff!$B$4:$B$33,MATCH(M157,Staff!$A$4:$A$33,0)),"")&amp;"?subject="&amp;SUBSTITUTE(SUBSTITUTE(SUBSTITUTE(SUBSTITUTE(SUBSTITUTE("Enquiry "&amp;A157&amp;" allocated to you - "&amp;D157,"%","%25"),"&amp;","%26")," ","%20"),"#","%23"),CHAR(10),"%0A")&amp;"&amp;body="&amp;SUBSTITUTE(SUBSTITUTE(SUBSTITUTE(SUBSTITUTE(SUBSTITUTE("Ref: "&amp;A157&amp;CHAR(10)&amp;"Customer: "&amp;D157&amp;"  "&amp;E157&amp;CHAR(10)&amp;"Phone: "&amp;F157&amp;CHAR(10)&amp;"Email: "&amp;G157&amp;CHAR(10)&amp;"Prefers: "&amp;H157&amp;CHAR(10)&amp;"Enquiry: "&amp;LEFT(I157,600)&amp;CHAR(10)&amp;CHAR(10)&amp;"Sent from the Preston Mazda enquiry log.","%","%25"),"&amp;","%26")," ","%20"),"#","%23"),CHAR(10),"%0A"),"✉ Email "&amp;M157))</f>
        <v/>
      </c>
      <c r="W157" s="18" t="str">
        <f aca="false">IF(OR(P157="",IFERROR(INDEX(Staff!$E$4:$E$33,MATCH(P157,Staff!$D$4:$D$33,0)),"")=""),"",HYPERLINK("mailto:"&amp;IFERROR(INDEX(Staff!$E$4:$E$33,MATCH(P157,Staff!$D$4:$D$33,0)),"")&amp;"?subject="&amp;SUBSTITUTE(SUBSTITUTE(SUBSTITUTE(SUBSTITUTE(SUBSTITUTE("Parts quote "&amp;A157&amp;" allocated to you - "&amp;D157,"%","%25"),"&amp;","%26")," ","%20"),"#","%23"),CHAR(10),"%0A")&amp;"&amp;body="&amp;SUBSTITUTE(SUBSTITUTE(SUBSTITUTE(SUBSTITUTE(SUBSTITUTE("Ref: "&amp;A157&amp;CHAR(10)&amp;"Customer: "&amp;D157&amp;"  "&amp;E157&amp;CHAR(10)&amp;"Phone: "&amp;F157&amp;CHAR(10)&amp;"Email: "&amp;G157&amp;CHAR(10)&amp;"Prefers: "&amp;H157&amp;CHAR(10)&amp;"Enquiry: "&amp;LEFT(I157,600)&amp;CHAR(10)&amp;CHAR(10)&amp;"Sent from the Preston Mazda enquiry log.","%","%25"),"&amp;","%26")," ","%20"),"#","%23"),CHAR(10),"%0A"),"✉ Email "&amp;P157))</f>
        <v/>
      </c>
    </row>
    <row r="158" customFormat="false" ht="15" hidden="false" customHeight="false" outlineLevel="0" collapsed="false">
      <c r="A158" s="10" t="str">
        <f aca="false">IF(D158="","","E-"&amp;TEXT(ROW()-3,"0000"))</f>
        <v/>
      </c>
      <c r="B158" s="11"/>
      <c r="C158" s="12"/>
      <c r="D158" s="13"/>
      <c r="E158" s="14"/>
      <c r="F158" s="12"/>
      <c r="G158" s="12"/>
      <c r="H158" s="15"/>
      <c r="I158" s="16"/>
      <c r="J158" s="17" t="str">
        <f aca="false">IF(D158="","",HYPERLINK(Settings!$B$7&amp;A158&amp;".pdf","Open "&amp;A158&amp;".pdf"))</f>
        <v/>
      </c>
      <c r="K158" s="16"/>
      <c r="L158" s="12"/>
      <c r="M158" s="12"/>
      <c r="N158" s="15"/>
      <c r="O158" s="15"/>
      <c r="P158" s="12"/>
      <c r="Q158" s="15"/>
      <c r="R158" s="15"/>
      <c r="S158" s="15" t="str">
        <f aca="false">IF(D158="","",IF(AND(O158="Yes",OR(Q158&lt;&gt;"Yes",R158="Yes")),"Complete","Open"))</f>
        <v/>
      </c>
      <c r="T158" s="18" t="str">
        <f aca="false">IF(AND(Q158="Yes",R158&lt;&gt;"Yes"),HYPERLINK("mailto:"&amp;Settings!$B$5&amp;"?subject="&amp;SUBSTITUTE(SUBSTITUTE(SUBSTITUTE(SUBSTITUTE(SUBSTITUTE("Parts quote required - "&amp;D158&amp;" "&amp;E158,"%","%25"),"&amp;","%26")," ","%20"),"#","%23"),CHAR(10),"%0A")&amp;"&amp;body="&amp;SUBSTITUTE(SUBSTITUTE(SUBSTITUTE(SUBSTITUTE(SUBSTITUTE("Ref: "&amp;A158&amp;CHAR(10)&amp;"Customer: "&amp;D158&amp;"  "&amp;E158&amp;CHAR(10)&amp;"Phone: "&amp;F158&amp;CHAR(10)&amp;"Email: "&amp;G158&amp;CHAR(10)&amp;"Prefers: "&amp;H158&amp;CHAR(10)&amp;"Enquiry: "&amp;LEFT(I158,600)&amp;CHAR(10)&amp;CHAR(10)&amp;"Sent from the Preston Mazda enquiry log.","%","%25"),"&amp;","%26")," ","%20"),"#","%23"),CHAR(10),"%0A"),"✉ Email parts"),"")</f>
        <v/>
      </c>
      <c r="U158" s="18" t="str">
        <f aca="false">IF(AND(N158="Yes",O158&lt;&gt;"Yes"),HYPERLINK("mailto:"&amp;Settings!$B$6&amp;"?subject="&amp;SUBSTITUTE(SUBSTITUTE(SUBSTITUTE(SUBSTITUTE(SUBSTITUTE("Customer contact required - "&amp;D158&amp;" "&amp;E158,"%","%25"),"&amp;","%26")," ","%20"),"#","%23"),CHAR(10),"%0A")&amp;"&amp;body="&amp;SUBSTITUTE(SUBSTITUTE(SUBSTITUTE(SUBSTITUTE(SUBSTITUTE("Ref: "&amp;A158&amp;CHAR(10)&amp;"Customer: "&amp;D158&amp;"  "&amp;E158&amp;CHAR(10)&amp;"Phone: "&amp;F158&amp;CHAR(10)&amp;"Email: "&amp;G158&amp;CHAR(10)&amp;"Prefers: "&amp;H158&amp;CHAR(10)&amp;"Enquiry: "&amp;LEFT(I158,600)&amp;CHAR(10)&amp;CHAR(10)&amp;"Sent from the Preston Mazda enquiry log.","%","%25"),"&amp;","%26")," ","%20"),"#","%23"),CHAR(10),"%0A"),"✉ Email advisors"),"")</f>
        <v/>
      </c>
      <c r="V158" s="18" t="str">
        <f aca="false">IF(OR(M158="",IFERROR(INDEX(Staff!$B$4:$B$33,MATCH(M158,Staff!$A$4:$A$33,0)),"")=""),"",HYPERLINK("mailto:"&amp;IFERROR(INDEX(Staff!$B$4:$B$33,MATCH(M158,Staff!$A$4:$A$33,0)),"")&amp;"?subject="&amp;SUBSTITUTE(SUBSTITUTE(SUBSTITUTE(SUBSTITUTE(SUBSTITUTE("Enquiry "&amp;A158&amp;" allocated to you - "&amp;D158,"%","%25"),"&amp;","%26")," ","%20"),"#","%23"),CHAR(10),"%0A")&amp;"&amp;body="&amp;SUBSTITUTE(SUBSTITUTE(SUBSTITUTE(SUBSTITUTE(SUBSTITUTE("Ref: "&amp;A158&amp;CHAR(10)&amp;"Customer: "&amp;D158&amp;"  "&amp;E158&amp;CHAR(10)&amp;"Phone: "&amp;F158&amp;CHAR(10)&amp;"Email: "&amp;G158&amp;CHAR(10)&amp;"Prefers: "&amp;H158&amp;CHAR(10)&amp;"Enquiry: "&amp;LEFT(I158,600)&amp;CHAR(10)&amp;CHAR(10)&amp;"Sent from the Preston Mazda enquiry log.","%","%25"),"&amp;","%26")," ","%20"),"#","%23"),CHAR(10),"%0A"),"✉ Email "&amp;M158))</f>
        <v/>
      </c>
      <c r="W158" s="18" t="str">
        <f aca="false">IF(OR(P158="",IFERROR(INDEX(Staff!$E$4:$E$33,MATCH(P158,Staff!$D$4:$D$33,0)),"")=""),"",HYPERLINK("mailto:"&amp;IFERROR(INDEX(Staff!$E$4:$E$33,MATCH(P158,Staff!$D$4:$D$33,0)),"")&amp;"?subject="&amp;SUBSTITUTE(SUBSTITUTE(SUBSTITUTE(SUBSTITUTE(SUBSTITUTE("Parts quote "&amp;A158&amp;" allocated to you - "&amp;D158,"%","%25"),"&amp;","%26")," ","%20"),"#","%23"),CHAR(10),"%0A")&amp;"&amp;body="&amp;SUBSTITUTE(SUBSTITUTE(SUBSTITUTE(SUBSTITUTE(SUBSTITUTE("Ref: "&amp;A158&amp;CHAR(10)&amp;"Customer: "&amp;D158&amp;"  "&amp;E158&amp;CHAR(10)&amp;"Phone: "&amp;F158&amp;CHAR(10)&amp;"Email: "&amp;G158&amp;CHAR(10)&amp;"Prefers: "&amp;H158&amp;CHAR(10)&amp;"Enquiry: "&amp;LEFT(I158,600)&amp;CHAR(10)&amp;CHAR(10)&amp;"Sent from the Preston Mazda enquiry log.","%","%25"),"&amp;","%26")," ","%20"),"#","%23"),CHAR(10),"%0A"),"✉ Email "&amp;P158))</f>
        <v/>
      </c>
    </row>
    <row r="159" customFormat="false" ht="15" hidden="false" customHeight="false" outlineLevel="0" collapsed="false">
      <c r="A159" s="10" t="str">
        <f aca="false">IF(D159="","","E-"&amp;TEXT(ROW()-3,"0000"))</f>
        <v/>
      </c>
      <c r="B159" s="11"/>
      <c r="C159" s="12"/>
      <c r="D159" s="13"/>
      <c r="E159" s="14"/>
      <c r="F159" s="12"/>
      <c r="G159" s="12"/>
      <c r="H159" s="15"/>
      <c r="I159" s="16"/>
      <c r="J159" s="17" t="str">
        <f aca="false">IF(D159="","",HYPERLINK(Settings!$B$7&amp;A159&amp;".pdf","Open "&amp;A159&amp;".pdf"))</f>
        <v/>
      </c>
      <c r="K159" s="16"/>
      <c r="L159" s="12"/>
      <c r="M159" s="12"/>
      <c r="N159" s="15"/>
      <c r="O159" s="15"/>
      <c r="P159" s="12"/>
      <c r="Q159" s="15"/>
      <c r="R159" s="15"/>
      <c r="S159" s="15" t="str">
        <f aca="false">IF(D159="","",IF(AND(O159="Yes",OR(Q159&lt;&gt;"Yes",R159="Yes")),"Complete","Open"))</f>
        <v/>
      </c>
      <c r="T159" s="18" t="str">
        <f aca="false">IF(AND(Q159="Yes",R159&lt;&gt;"Yes"),HYPERLINK("mailto:"&amp;Settings!$B$5&amp;"?subject="&amp;SUBSTITUTE(SUBSTITUTE(SUBSTITUTE(SUBSTITUTE(SUBSTITUTE("Parts quote required - "&amp;D159&amp;" "&amp;E159,"%","%25"),"&amp;","%26")," ","%20"),"#","%23"),CHAR(10),"%0A")&amp;"&amp;body="&amp;SUBSTITUTE(SUBSTITUTE(SUBSTITUTE(SUBSTITUTE(SUBSTITUTE("Ref: "&amp;A159&amp;CHAR(10)&amp;"Customer: "&amp;D159&amp;"  "&amp;E159&amp;CHAR(10)&amp;"Phone: "&amp;F159&amp;CHAR(10)&amp;"Email: "&amp;G159&amp;CHAR(10)&amp;"Prefers: "&amp;H159&amp;CHAR(10)&amp;"Enquiry: "&amp;LEFT(I159,600)&amp;CHAR(10)&amp;CHAR(10)&amp;"Sent from the Preston Mazda enquiry log.","%","%25"),"&amp;","%26")," ","%20"),"#","%23"),CHAR(10),"%0A"),"✉ Email parts"),"")</f>
        <v/>
      </c>
      <c r="U159" s="18" t="str">
        <f aca="false">IF(AND(N159="Yes",O159&lt;&gt;"Yes"),HYPERLINK("mailto:"&amp;Settings!$B$6&amp;"?subject="&amp;SUBSTITUTE(SUBSTITUTE(SUBSTITUTE(SUBSTITUTE(SUBSTITUTE("Customer contact required - "&amp;D159&amp;" "&amp;E159,"%","%25"),"&amp;","%26")," ","%20"),"#","%23"),CHAR(10),"%0A")&amp;"&amp;body="&amp;SUBSTITUTE(SUBSTITUTE(SUBSTITUTE(SUBSTITUTE(SUBSTITUTE("Ref: "&amp;A159&amp;CHAR(10)&amp;"Customer: "&amp;D159&amp;"  "&amp;E159&amp;CHAR(10)&amp;"Phone: "&amp;F159&amp;CHAR(10)&amp;"Email: "&amp;G159&amp;CHAR(10)&amp;"Prefers: "&amp;H159&amp;CHAR(10)&amp;"Enquiry: "&amp;LEFT(I159,600)&amp;CHAR(10)&amp;CHAR(10)&amp;"Sent from the Preston Mazda enquiry log.","%","%25"),"&amp;","%26")," ","%20"),"#","%23"),CHAR(10),"%0A"),"✉ Email advisors"),"")</f>
        <v/>
      </c>
      <c r="V159" s="18" t="str">
        <f aca="false">IF(OR(M159="",IFERROR(INDEX(Staff!$B$4:$B$33,MATCH(M159,Staff!$A$4:$A$33,0)),"")=""),"",HYPERLINK("mailto:"&amp;IFERROR(INDEX(Staff!$B$4:$B$33,MATCH(M159,Staff!$A$4:$A$33,0)),"")&amp;"?subject="&amp;SUBSTITUTE(SUBSTITUTE(SUBSTITUTE(SUBSTITUTE(SUBSTITUTE("Enquiry "&amp;A159&amp;" allocated to you - "&amp;D159,"%","%25"),"&amp;","%26")," ","%20"),"#","%23"),CHAR(10),"%0A")&amp;"&amp;body="&amp;SUBSTITUTE(SUBSTITUTE(SUBSTITUTE(SUBSTITUTE(SUBSTITUTE("Ref: "&amp;A159&amp;CHAR(10)&amp;"Customer: "&amp;D159&amp;"  "&amp;E159&amp;CHAR(10)&amp;"Phone: "&amp;F159&amp;CHAR(10)&amp;"Email: "&amp;G159&amp;CHAR(10)&amp;"Prefers: "&amp;H159&amp;CHAR(10)&amp;"Enquiry: "&amp;LEFT(I159,600)&amp;CHAR(10)&amp;CHAR(10)&amp;"Sent from the Preston Mazda enquiry log.","%","%25"),"&amp;","%26")," ","%20"),"#","%23"),CHAR(10),"%0A"),"✉ Email "&amp;M159))</f>
        <v/>
      </c>
      <c r="W159" s="18" t="str">
        <f aca="false">IF(OR(P159="",IFERROR(INDEX(Staff!$E$4:$E$33,MATCH(P159,Staff!$D$4:$D$33,0)),"")=""),"",HYPERLINK("mailto:"&amp;IFERROR(INDEX(Staff!$E$4:$E$33,MATCH(P159,Staff!$D$4:$D$33,0)),"")&amp;"?subject="&amp;SUBSTITUTE(SUBSTITUTE(SUBSTITUTE(SUBSTITUTE(SUBSTITUTE("Parts quote "&amp;A159&amp;" allocated to you - "&amp;D159,"%","%25"),"&amp;","%26")," ","%20"),"#","%23"),CHAR(10),"%0A")&amp;"&amp;body="&amp;SUBSTITUTE(SUBSTITUTE(SUBSTITUTE(SUBSTITUTE(SUBSTITUTE("Ref: "&amp;A159&amp;CHAR(10)&amp;"Customer: "&amp;D159&amp;"  "&amp;E159&amp;CHAR(10)&amp;"Phone: "&amp;F159&amp;CHAR(10)&amp;"Email: "&amp;G159&amp;CHAR(10)&amp;"Prefers: "&amp;H159&amp;CHAR(10)&amp;"Enquiry: "&amp;LEFT(I159,600)&amp;CHAR(10)&amp;CHAR(10)&amp;"Sent from the Preston Mazda enquiry log.","%","%25"),"&amp;","%26")," ","%20"),"#","%23"),CHAR(10),"%0A"),"✉ Email "&amp;P159))</f>
        <v/>
      </c>
    </row>
    <row r="160" customFormat="false" ht="15" hidden="false" customHeight="false" outlineLevel="0" collapsed="false">
      <c r="A160" s="10" t="str">
        <f aca="false">IF(D160="","","E-"&amp;TEXT(ROW()-3,"0000"))</f>
        <v/>
      </c>
      <c r="B160" s="11"/>
      <c r="C160" s="12"/>
      <c r="D160" s="13"/>
      <c r="E160" s="14"/>
      <c r="F160" s="12"/>
      <c r="G160" s="12"/>
      <c r="H160" s="15"/>
      <c r="I160" s="16"/>
      <c r="J160" s="17" t="str">
        <f aca="false">IF(D160="","",HYPERLINK(Settings!$B$7&amp;A160&amp;".pdf","Open "&amp;A160&amp;".pdf"))</f>
        <v/>
      </c>
      <c r="K160" s="16"/>
      <c r="L160" s="12"/>
      <c r="M160" s="12"/>
      <c r="N160" s="15"/>
      <c r="O160" s="15"/>
      <c r="P160" s="12"/>
      <c r="Q160" s="15"/>
      <c r="R160" s="15"/>
      <c r="S160" s="15" t="str">
        <f aca="false">IF(D160="","",IF(AND(O160="Yes",OR(Q160&lt;&gt;"Yes",R160="Yes")),"Complete","Open"))</f>
        <v/>
      </c>
      <c r="T160" s="18" t="str">
        <f aca="false">IF(AND(Q160="Yes",R160&lt;&gt;"Yes"),HYPERLINK("mailto:"&amp;Settings!$B$5&amp;"?subject="&amp;SUBSTITUTE(SUBSTITUTE(SUBSTITUTE(SUBSTITUTE(SUBSTITUTE("Parts quote required - "&amp;D160&amp;" "&amp;E160,"%","%25"),"&amp;","%26")," ","%20"),"#","%23"),CHAR(10),"%0A")&amp;"&amp;body="&amp;SUBSTITUTE(SUBSTITUTE(SUBSTITUTE(SUBSTITUTE(SUBSTITUTE("Ref: "&amp;A160&amp;CHAR(10)&amp;"Customer: "&amp;D160&amp;"  "&amp;E160&amp;CHAR(10)&amp;"Phone: "&amp;F160&amp;CHAR(10)&amp;"Email: "&amp;G160&amp;CHAR(10)&amp;"Prefers: "&amp;H160&amp;CHAR(10)&amp;"Enquiry: "&amp;LEFT(I160,600)&amp;CHAR(10)&amp;CHAR(10)&amp;"Sent from the Preston Mazda enquiry log.","%","%25"),"&amp;","%26")," ","%20"),"#","%23"),CHAR(10),"%0A"),"✉ Email parts"),"")</f>
        <v/>
      </c>
      <c r="U160" s="18" t="str">
        <f aca="false">IF(AND(N160="Yes",O160&lt;&gt;"Yes"),HYPERLINK("mailto:"&amp;Settings!$B$6&amp;"?subject="&amp;SUBSTITUTE(SUBSTITUTE(SUBSTITUTE(SUBSTITUTE(SUBSTITUTE("Customer contact required - "&amp;D160&amp;" "&amp;E160,"%","%25"),"&amp;","%26")," ","%20"),"#","%23"),CHAR(10),"%0A")&amp;"&amp;body="&amp;SUBSTITUTE(SUBSTITUTE(SUBSTITUTE(SUBSTITUTE(SUBSTITUTE("Ref: "&amp;A160&amp;CHAR(10)&amp;"Customer: "&amp;D160&amp;"  "&amp;E160&amp;CHAR(10)&amp;"Phone: "&amp;F160&amp;CHAR(10)&amp;"Email: "&amp;G160&amp;CHAR(10)&amp;"Prefers: "&amp;H160&amp;CHAR(10)&amp;"Enquiry: "&amp;LEFT(I160,600)&amp;CHAR(10)&amp;CHAR(10)&amp;"Sent from the Preston Mazda enquiry log.","%","%25"),"&amp;","%26")," ","%20"),"#","%23"),CHAR(10),"%0A"),"✉ Email advisors"),"")</f>
        <v/>
      </c>
      <c r="V160" s="18" t="str">
        <f aca="false">IF(OR(M160="",IFERROR(INDEX(Staff!$B$4:$B$33,MATCH(M160,Staff!$A$4:$A$33,0)),"")=""),"",HYPERLINK("mailto:"&amp;IFERROR(INDEX(Staff!$B$4:$B$33,MATCH(M160,Staff!$A$4:$A$33,0)),"")&amp;"?subject="&amp;SUBSTITUTE(SUBSTITUTE(SUBSTITUTE(SUBSTITUTE(SUBSTITUTE("Enquiry "&amp;A160&amp;" allocated to you - "&amp;D160,"%","%25"),"&amp;","%26")," ","%20"),"#","%23"),CHAR(10),"%0A")&amp;"&amp;body="&amp;SUBSTITUTE(SUBSTITUTE(SUBSTITUTE(SUBSTITUTE(SUBSTITUTE("Ref: "&amp;A160&amp;CHAR(10)&amp;"Customer: "&amp;D160&amp;"  "&amp;E160&amp;CHAR(10)&amp;"Phone: "&amp;F160&amp;CHAR(10)&amp;"Email: "&amp;G160&amp;CHAR(10)&amp;"Prefers: "&amp;H160&amp;CHAR(10)&amp;"Enquiry: "&amp;LEFT(I160,600)&amp;CHAR(10)&amp;CHAR(10)&amp;"Sent from the Preston Mazda enquiry log.","%","%25"),"&amp;","%26")," ","%20"),"#","%23"),CHAR(10),"%0A"),"✉ Email "&amp;M160))</f>
        <v/>
      </c>
      <c r="W160" s="18" t="str">
        <f aca="false">IF(OR(P160="",IFERROR(INDEX(Staff!$E$4:$E$33,MATCH(P160,Staff!$D$4:$D$33,0)),"")=""),"",HYPERLINK("mailto:"&amp;IFERROR(INDEX(Staff!$E$4:$E$33,MATCH(P160,Staff!$D$4:$D$33,0)),"")&amp;"?subject="&amp;SUBSTITUTE(SUBSTITUTE(SUBSTITUTE(SUBSTITUTE(SUBSTITUTE("Parts quote "&amp;A160&amp;" allocated to you - "&amp;D160,"%","%25"),"&amp;","%26")," ","%20"),"#","%23"),CHAR(10),"%0A")&amp;"&amp;body="&amp;SUBSTITUTE(SUBSTITUTE(SUBSTITUTE(SUBSTITUTE(SUBSTITUTE("Ref: "&amp;A160&amp;CHAR(10)&amp;"Customer: "&amp;D160&amp;"  "&amp;E160&amp;CHAR(10)&amp;"Phone: "&amp;F160&amp;CHAR(10)&amp;"Email: "&amp;G160&amp;CHAR(10)&amp;"Prefers: "&amp;H160&amp;CHAR(10)&amp;"Enquiry: "&amp;LEFT(I160,600)&amp;CHAR(10)&amp;CHAR(10)&amp;"Sent from the Preston Mazda enquiry log.","%","%25"),"&amp;","%26")," ","%20"),"#","%23"),CHAR(10),"%0A"),"✉ Email "&amp;P160))</f>
        <v/>
      </c>
    </row>
    <row r="161" customFormat="false" ht="15" hidden="false" customHeight="false" outlineLevel="0" collapsed="false">
      <c r="A161" s="10" t="str">
        <f aca="false">IF(D161="","","E-"&amp;TEXT(ROW()-3,"0000"))</f>
        <v/>
      </c>
      <c r="B161" s="11"/>
      <c r="C161" s="12"/>
      <c r="D161" s="13"/>
      <c r="E161" s="14"/>
      <c r="F161" s="12"/>
      <c r="G161" s="12"/>
      <c r="H161" s="15"/>
      <c r="I161" s="16"/>
      <c r="J161" s="17" t="str">
        <f aca="false">IF(D161="","",HYPERLINK(Settings!$B$7&amp;A161&amp;".pdf","Open "&amp;A161&amp;".pdf"))</f>
        <v/>
      </c>
      <c r="K161" s="16"/>
      <c r="L161" s="12"/>
      <c r="M161" s="12"/>
      <c r="N161" s="15"/>
      <c r="O161" s="15"/>
      <c r="P161" s="12"/>
      <c r="Q161" s="15"/>
      <c r="R161" s="15"/>
      <c r="S161" s="15" t="str">
        <f aca="false">IF(D161="","",IF(AND(O161="Yes",OR(Q161&lt;&gt;"Yes",R161="Yes")),"Complete","Open"))</f>
        <v/>
      </c>
      <c r="T161" s="18" t="str">
        <f aca="false">IF(AND(Q161="Yes",R161&lt;&gt;"Yes"),HYPERLINK("mailto:"&amp;Settings!$B$5&amp;"?subject="&amp;SUBSTITUTE(SUBSTITUTE(SUBSTITUTE(SUBSTITUTE(SUBSTITUTE("Parts quote required - "&amp;D161&amp;" "&amp;E161,"%","%25"),"&amp;","%26")," ","%20"),"#","%23"),CHAR(10),"%0A")&amp;"&amp;body="&amp;SUBSTITUTE(SUBSTITUTE(SUBSTITUTE(SUBSTITUTE(SUBSTITUTE("Ref: "&amp;A161&amp;CHAR(10)&amp;"Customer: "&amp;D161&amp;"  "&amp;E161&amp;CHAR(10)&amp;"Phone: "&amp;F161&amp;CHAR(10)&amp;"Email: "&amp;G161&amp;CHAR(10)&amp;"Prefers: "&amp;H161&amp;CHAR(10)&amp;"Enquiry: "&amp;LEFT(I161,600)&amp;CHAR(10)&amp;CHAR(10)&amp;"Sent from the Preston Mazda enquiry log.","%","%25"),"&amp;","%26")," ","%20"),"#","%23"),CHAR(10),"%0A"),"✉ Email parts"),"")</f>
        <v/>
      </c>
      <c r="U161" s="18" t="str">
        <f aca="false">IF(AND(N161="Yes",O161&lt;&gt;"Yes"),HYPERLINK("mailto:"&amp;Settings!$B$6&amp;"?subject="&amp;SUBSTITUTE(SUBSTITUTE(SUBSTITUTE(SUBSTITUTE(SUBSTITUTE("Customer contact required - "&amp;D161&amp;" "&amp;E161,"%","%25"),"&amp;","%26")," ","%20"),"#","%23"),CHAR(10),"%0A")&amp;"&amp;body="&amp;SUBSTITUTE(SUBSTITUTE(SUBSTITUTE(SUBSTITUTE(SUBSTITUTE("Ref: "&amp;A161&amp;CHAR(10)&amp;"Customer: "&amp;D161&amp;"  "&amp;E161&amp;CHAR(10)&amp;"Phone: "&amp;F161&amp;CHAR(10)&amp;"Email: "&amp;G161&amp;CHAR(10)&amp;"Prefers: "&amp;H161&amp;CHAR(10)&amp;"Enquiry: "&amp;LEFT(I161,600)&amp;CHAR(10)&amp;CHAR(10)&amp;"Sent from the Preston Mazda enquiry log.","%","%25"),"&amp;","%26")," ","%20"),"#","%23"),CHAR(10),"%0A"),"✉ Email advisors"),"")</f>
        <v/>
      </c>
      <c r="V161" s="18" t="str">
        <f aca="false">IF(OR(M161="",IFERROR(INDEX(Staff!$B$4:$B$33,MATCH(M161,Staff!$A$4:$A$33,0)),"")=""),"",HYPERLINK("mailto:"&amp;IFERROR(INDEX(Staff!$B$4:$B$33,MATCH(M161,Staff!$A$4:$A$33,0)),"")&amp;"?subject="&amp;SUBSTITUTE(SUBSTITUTE(SUBSTITUTE(SUBSTITUTE(SUBSTITUTE("Enquiry "&amp;A161&amp;" allocated to you - "&amp;D161,"%","%25"),"&amp;","%26")," ","%20"),"#","%23"),CHAR(10),"%0A")&amp;"&amp;body="&amp;SUBSTITUTE(SUBSTITUTE(SUBSTITUTE(SUBSTITUTE(SUBSTITUTE("Ref: "&amp;A161&amp;CHAR(10)&amp;"Customer: "&amp;D161&amp;"  "&amp;E161&amp;CHAR(10)&amp;"Phone: "&amp;F161&amp;CHAR(10)&amp;"Email: "&amp;G161&amp;CHAR(10)&amp;"Prefers: "&amp;H161&amp;CHAR(10)&amp;"Enquiry: "&amp;LEFT(I161,600)&amp;CHAR(10)&amp;CHAR(10)&amp;"Sent from the Preston Mazda enquiry log.","%","%25"),"&amp;","%26")," ","%20"),"#","%23"),CHAR(10),"%0A"),"✉ Email "&amp;M161))</f>
        <v/>
      </c>
      <c r="W161" s="18" t="str">
        <f aca="false">IF(OR(P161="",IFERROR(INDEX(Staff!$E$4:$E$33,MATCH(P161,Staff!$D$4:$D$33,0)),"")=""),"",HYPERLINK("mailto:"&amp;IFERROR(INDEX(Staff!$E$4:$E$33,MATCH(P161,Staff!$D$4:$D$33,0)),"")&amp;"?subject="&amp;SUBSTITUTE(SUBSTITUTE(SUBSTITUTE(SUBSTITUTE(SUBSTITUTE("Parts quote "&amp;A161&amp;" allocated to you - "&amp;D161,"%","%25"),"&amp;","%26")," ","%20"),"#","%23"),CHAR(10),"%0A")&amp;"&amp;body="&amp;SUBSTITUTE(SUBSTITUTE(SUBSTITUTE(SUBSTITUTE(SUBSTITUTE("Ref: "&amp;A161&amp;CHAR(10)&amp;"Customer: "&amp;D161&amp;"  "&amp;E161&amp;CHAR(10)&amp;"Phone: "&amp;F161&amp;CHAR(10)&amp;"Email: "&amp;G161&amp;CHAR(10)&amp;"Prefers: "&amp;H161&amp;CHAR(10)&amp;"Enquiry: "&amp;LEFT(I161,600)&amp;CHAR(10)&amp;CHAR(10)&amp;"Sent from the Preston Mazda enquiry log.","%","%25"),"&amp;","%26")," ","%20"),"#","%23"),CHAR(10),"%0A"),"✉ Email "&amp;P161))</f>
        <v/>
      </c>
    </row>
    <row r="162" customFormat="false" ht="15" hidden="false" customHeight="false" outlineLevel="0" collapsed="false">
      <c r="A162" s="10" t="str">
        <f aca="false">IF(D162="","","E-"&amp;TEXT(ROW()-3,"0000"))</f>
        <v/>
      </c>
      <c r="B162" s="11"/>
      <c r="C162" s="12"/>
      <c r="D162" s="13"/>
      <c r="E162" s="14"/>
      <c r="F162" s="12"/>
      <c r="G162" s="12"/>
      <c r="H162" s="15"/>
      <c r="I162" s="16"/>
      <c r="J162" s="17" t="str">
        <f aca="false">IF(D162="","",HYPERLINK(Settings!$B$7&amp;A162&amp;".pdf","Open "&amp;A162&amp;".pdf"))</f>
        <v/>
      </c>
      <c r="K162" s="16"/>
      <c r="L162" s="12"/>
      <c r="M162" s="12"/>
      <c r="N162" s="15"/>
      <c r="O162" s="15"/>
      <c r="P162" s="12"/>
      <c r="Q162" s="15"/>
      <c r="R162" s="15"/>
      <c r="S162" s="15" t="str">
        <f aca="false">IF(D162="","",IF(AND(O162="Yes",OR(Q162&lt;&gt;"Yes",R162="Yes")),"Complete","Open"))</f>
        <v/>
      </c>
      <c r="T162" s="18" t="str">
        <f aca="false">IF(AND(Q162="Yes",R162&lt;&gt;"Yes"),HYPERLINK("mailto:"&amp;Settings!$B$5&amp;"?subject="&amp;SUBSTITUTE(SUBSTITUTE(SUBSTITUTE(SUBSTITUTE(SUBSTITUTE("Parts quote required - "&amp;D162&amp;" "&amp;E162,"%","%25"),"&amp;","%26")," ","%20"),"#","%23"),CHAR(10),"%0A")&amp;"&amp;body="&amp;SUBSTITUTE(SUBSTITUTE(SUBSTITUTE(SUBSTITUTE(SUBSTITUTE("Ref: "&amp;A162&amp;CHAR(10)&amp;"Customer: "&amp;D162&amp;"  "&amp;E162&amp;CHAR(10)&amp;"Phone: "&amp;F162&amp;CHAR(10)&amp;"Email: "&amp;G162&amp;CHAR(10)&amp;"Prefers: "&amp;H162&amp;CHAR(10)&amp;"Enquiry: "&amp;LEFT(I162,600)&amp;CHAR(10)&amp;CHAR(10)&amp;"Sent from the Preston Mazda enquiry log.","%","%25"),"&amp;","%26")," ","%20"),"#","%23"),CHAR(10),"%0A"),"✉ Email parts"),"")</f>
        <v/>
      </c>
      <c r="U162" s="18" t="str">
        <f aca="false">IF(AND(N162="Yes",O162&lt;&gt;"Yes"),HYPERLINK("mailto:"&amp;Settings!$B$6&amp;"?subject="&amp;SUBSTITUTE(SUBSTITUTE(SUBSTITUTE(SUBSTITUTE(SUBSTITUTE("Customer contact required - "&amp;D162&amp;" "&amp;E162,"%","%25"),"&amp;","%26")," ","%20"),"#","%23"),CHAR(10),"%0A")&amp;"&amp;body="&amp;SUBSTITUTE(SUBSTITUTE(SUBSTITUTE(SUBSTITUTE(SUBSTITUTE("Ref: "&amp;A162&amp;CHAR(10)&amp;"Customer: "&amp;D162&amp;"  "&amp;E162&amp;CHAR(10)&amp;"Phone: "&amp;F162&amp;CHAR(10)&amp;"Email: "&amp;G162&amp;CHAR(10)&amp;"Prefers: "&amp;H162&amp;CHAR(10)&amp;"Enquiry: "&amp;LEFT(I162,600)&amp;CHAR(10)&amp;CHAR(10)&amp;"Sent from the Preston Mazda enquiry log.","%","%25"),"&amp;","%26")," ","%20"),"#","%23"),CHAR(10),"%0A"),"✉ Email advisors"),"")</f>
        <v/>
      </c>
      <c r="V162" s="18" t="str">
        <f aca="false">IF(OR(M162="",IFERROR(INDEX(Staff!$B$4:$B$33,MATCH(M162,Staff!$A$4:$A$33,0)),"")=""),"",HYPERLINK("mailto:"&amp;IFERROR(INDEX(Staff!$B$4:$B$33,MATCH(M162,Staff!$A$4:$A$33,0)),"")&amp;"?subject="&amp;SUBSTITUTE(SUBSTITUTE(SUBSTITUTE(SUBSTITUTE(SUBSTITUTE("Enquiry "&amp;A162&amp;" allocated to you - "&amp;D162,"%","%25"),"&amp;","%26")," ","%20"),"#","%23"),CHAR(10),"%0A")&amp;"&amp;body="&amp;SUBSTITUTE(SUBSTITUTE(SUBSTITUTE(SUBSTITUTE(SUBSTITUTE("Ref: "&amp;A162&amp;CHAR(10)&amp;"Customer: "&amp;D162&amp;"  "&amp;E162&amp;CHAR(10)&amp;"Phone: "&amp;F162&amp;CHAR(10)&amp;"Email: "&amp;G162&amp;CHAR(10)&amp;"Prefers: "&amp;H162&amp;CHAR(10)&amp;"Enquiry: "&amp;LEFT(I162,600)&amp;CHAR(10)&amp;CHAR(10)&amp;"Sent from the Preston Mazda enquiry log.","%","%25"),"&amp;","%26")," ","%20"),"#","%23"),CHAR(10),"%0A"),"✉ Email "&amp;M162))</f>
        <v/>
      </c>
      <c r="W162" s="18" t="str">
        <f aca="false">IF(OR(P162="",IFERROR(INDEX(Staff!$E$4:$E$33,MATCH(P162,Staff!$D$4:$D$33,0)),"")=""),"",HYPERLINK("mailto:"&amp;IFERROR(INDEX(Staff!$E$4:$E$33,MATCH(P162,Staff!$D$4:$D$33,0)),"")&amp;"?subject="&amp;SUBSTITUTE(SUBSTITUTE(SUBSTITUTE(SUBSTITUTE(SUBSTITUTE("Parts quote "&amp;A162&amp;" allocated to you - "&amp;D162,"%","%25"),"&amp;","%26")," ","%20"),"#","%23"),CHAR(10),"%0A")&amp;"&amp;body="&amp;SUBSTITUTE(SUBSTITUTE(SUBSTITUTE(SUBSTITUTE(SUBSTITUTE("Ref: "&amp;A162&amp;CHAR(10)&amp;"Customer: "&amp;D162&amp;"  "&amp;E162&amp;CHAR(10)&amp;"Phone: "&amp;F162&amp;CHAR(10)&amp;"Email: "&amp;G162&amp;CHAR(10)&amp;"Prefers: "&amp;H162&amp;CHAR(10)&amp;"Enquiry: "&amp;LEFT(I162,600)&amp;CHAR(10)&amp;CHAR(10)&amp;"Sent from the Preston Mazda enquiry log.","%","%25"),"&amp;","%26")," ","%20"),"#","%23"),CHAR(10),"%0A"),"✉ Email "&amp;P162))</f>
        <v/>
      </c>
    </row>
    <row r="163" customFormat="false" ht="15" hidden="false" customHeight="false" outlineLevel="0" collapsed="false">
      <c r="A163" s="10" t="str">
        <f aca="false">IF(D163="","","E-"&amp;TEXT(ROW()-3,"0000"))</f>
        <v/>
      </c>
      <c r="B163" s="11"/>
      <c r="C163" s="12"/>
      <c r="D163" s="13"/>
      <c r="E163" s="14"/>
      <c r="F163" s="12"/>
      <c r="G163" s="12"/>
      <c r="H163" s="15"/>
      <c r="I163" s="16"/>
      <c r="J163" s="17" t="str">
        <f aca="false">IF(D163="","",HYPERLINK(Settings!$B$7&amp;A163&amp;".pdf","Open "&amp;A163&amp;".pdf"))</f>
        <v/>
      </c>
      <c r="K163" s="16"/>
      <c r="L163" s="12"/>
      <c r="M163" s="12"/>
      <c r="N163" s="15"/>
      <c r="O163" s="15"/>
      <c r="P163" s="12"/>
      <c r="Q163" s="15"/>
      <c r="R163" s="15"/>
      <c r="S163" s="15" t="str">
        <f aca="false">IF(D163="","",IF(AND(O163="Yes",OR(Q163&lt;&gt;"Yes",R163="Yes")),"Complete","Open"))</f>
        <v/>
      </c>
      <c r="T163" s="18" t="str">
        <f aca="false">IF(AND(Q163="Yes",R163&lt;&gt;"Yes"),HYPERLINK("mailto:"&amp;Settings!$B$5&amp;"?subject="&amp;SUBSTITUTE(SUBSTITUTE(SUBSTITUTE(SUBSTITUTE(SUBSTITUTE("Parts quote required - "&amp;D163&amp;" "&amp;E163,"%","%25"),"&amp;","%26")," ","%20"),"#","%23"),CHAR(10),"%0A")&amp;"&amp;body="&amp;SUBSTITUTE(SUBSTITUTE(SUBSTITUTE(SUBSTITUTE(SUBSTITUTE("Ref: "&amp;A163&amp;CHAR(10)&amp;"Customer: "&amp;D163&amp;"  "&amp;E163&amp;CHAR(10)&amp;"Phone: "&amp;F163&amp;CHAR(10)&amp;"Email: "&amp;G163&amp;CHAR(10)&amp;"Prefers: "&amp;H163&amp;CHAR(10)&amp;"Enquiry: "&amp;LEFT(I163,600)&amp;CHAR(10)&amp;CHAR(10)&amp;"Sent from the Preston Mazda enquiry log.","%","%25"),"&amp;","%26")," ","%20"),"#","%23"),CHAR(10),"%0A"),"✉ Email parts"),"")</f>
        <v/>
      </c>
      <c r="U163" s="18" t="str">
        <f aca="false">IF(AND(N163="Yes",O163&lt;&gt;"Yes"),HYPERLINK("mailto:"&amp;Settings!$B$6&amp;"?subject="&amp;SUBSTITUTE(SUBSTITUTE(SUBSTITUTE(SUBSTITUTE(SUBSTITUTE("Customer contact required - "&amp;D163&amp;" "&amp;E163,"%","%25"),"&amp;","%26")," ","%20"),"#","%23"),CHAR(10),"%0A")&amp;"&amp;body="&amp;SUBSTITUTE(SUBSTITUTE(SUBSTITUTE(SUBSTITUTE(SUBSTITUTE("Ref: "&amp;A163&amp;CHAR(10)&amp;"Customer: "&amp;D163&amp;"  "&amp;E163&amp;CHAR(10)&amp;"Phone: "&amp;F163&amp;CHAR(10)&amp;"Email: "&amp;G163&amp;CHAR(10)&amp;"Prefers: "&amp;H163&amp;CHAR(10)&amp;"Enquiry: "&amp;LEFT(I163,600)&amp;CHAR(10)&amp;CHAR(10)&amp;"Sent from the Preston Mazda enquiry log.","%","%25"),"&amp;","%26")," ","%20"),"#","%23"),CHAR(10),"%0A"),"✉ Email advisors"),"")</f>
        <v/>
      </c>
      <c r="V163" s="18" t="str">
        <f aca="false">IF(OR(M163="",IFERROR(INDEX(Staff!$B$4:$B$33,MATCH(M163,Staff!$A$4:$A$33,0)),"")=""),"",HYPERLINK("mailto:"&amp;IFERROR(INDEX(Staff!$B$4:$B$33,MATCH(M163,Staff!$A$4:$A$33,0)),"")&amp;"?subject="&amp;SUBSTITUTE(SUBSTITUTE(SUBSTITUTE(SUBSTITUTE(SUBSTITUTE("Enquiry "&amp;A163&amp;" allocated to you - "&amp;D163,"%","%25"),"&amp;","%26")," ","%20"),"#","%23"),CHAR(10),"%0A")&amp;"&amp;body="&amp;SUBSTITUTE(SUBSTITUTE(SUBSTITUTE(SUBSTITUTE(SUBSTITUTE("Ref: "&amp;A163&amp;CHAR(10)&amp;"Customer: "&amp;D163&amp;"  "&amp;E163&amp;CHAR(10)&amp;"Phone: "&amp;F163&amp;CHAR(10)&amp;"Email: "&amp;G163&amp;CHAR(10)&amp;"Prefers: "&amp;H163&amp;CHAR(10)&amp;"Enquiry: "&amp;LEFT(I163,600)&amp;CHAR(10)&amp;CHAR(10)&amp;"Sent from the Preston Mazda enquiry log.","%","%25"),"&amp;","%26")," ","%20"),"#","%23"),CHAR(10),"%0A"),"✉ Email "&amp;M163))</f>
        <v/>
      </c>
      <c r="W163" s="18" t="str">
        <f aca="false">IF(OR(P163="",IFERROR(INDEX(Staff!$E$4:$E$33,MATCH(P163,Staff!$D$4:$D$33,0)),"")=""),"",HYPERLINK("mailto:"&amp;IFERROR(INDEX(Staff!$E$4:$E$33,MATCH(P163,Staff!$D$4:$D$33,0)),"")&amp;"?subject="&amp;SUBSTITUTE(SUBSTITUTE(SUBSTITUTE(SUBSTITUTE(SUBSTITUTE("Parts quote "&amp;A163&amp;" allocated to you - "&amp;D163,"%","%25"),"&amp;","%26")," ","%20"),"#","%23"),CHAR(10),"%0A")&amp;"&amp;body="&amp;SUBSTITUTE(SUBSTITUTE(SUBSTITUTE(SUBSTITUTE(SUBSTITUTE("Ref: "&amp;A163&amp;CHAR(10)&amp;"Customer: "&amp;D163&amp;"  "&amp;E163&amp;CHAR(10)&amp;"Phone: "&amp;F163&amp;CHAR(10)&amp;"Email: "&amp;G163&amp;CHAR(10)&amp;"Prefers: "&amp;H163&amp;CHAR(10)&amp;"Enquiry: "&amp;LEFT(I163,600)&amp;CHAR(10)&amp;CHAR(10)&amp;"Sent from the Preston Mazda enquiry log.","%","%25"),"&amp;","%26")," ","%20"),"#","%23"),CHAR(10),"%0A"),"✉ Email "&amp;P163))</f>
        <v/>
      </c>
    </row>
    <row r="164" customFormat="false" ht="15" hidden="false" customHeight="false" outlineLevel="0" collapsed="false">
      <c r="A164" s="10" t="str">
        <f aca="false">IF(D164="","","E-"&amp;TEXT(ROW()-3,"0000"))</f>
        <v/>
      </c>
      <c r="B164" s="11"/>
      <c r="C164" s="12"/>
      <c r="D164" s="13"/>
      <c r="E164" s="14"/>
      <c r="F164" s="12"/>
      <c r="G164" s="12"/>
      <c r="H164" s="15"/>
      <c r="I164" s="16"/>
      <c r="J164" s="17" t="str">
        <f aca="false">IF(D164="","",HYPERLINK(Settings!$B$7&amp;A164&amp;".pdf","Open "&amp;A164&amp;".pdf"))</f>
        <v/>
      </c>
      <c r="K164" s="16"/>
      <c r="L164" s="12"/>
      <c r="M164" s="12"/>
      <c r="N164" s="15"/>
      <c r="O164" s="15"/>
      <c r="P164" s="12"/>
      <c r="Q164" s="15"/>
      <c r="R164" s="15"/>
      <c r="S164" s="15" t="str">
        <f aca="false">IF(D164="","",IF(AND(O164="Yes",OR(Q164&lt;&gt;"Yes",R164="Yes")),"Complete","Open"))</f>
        <v/>
      </c>
      <c r="T164" s="18" t="str">
        <f aca="false">IF(AND(Q164="Yes",R164&lt;&gt;"Yes"),HYPERLINK("mailto:"&amp;Settings!$B$5&amp;"?subject="&amp;SUBSTITUTE(SUBSTITUTE(SUBSTITUTE(SUBSTITUTE(SUBSTITUTE("Parts quote required - "&amp;D164&amp;" "&amp;E164,"%","%25"),"&amp;","%26")," ","%20"),"#","%23"),CHAR(10),"%0A")&amp;"&amp;body="&amp;SUBSTITUTE(SUBSTITUTE(SUBSTITUTE(SUBSTITUTE(SUBSTITUTE("Ref: "&amp;A164&amp;CHAR(10)&amp;"Customer: "&amp;D164&amp;"  "&amp;E164&amp;CHAR(10)&amp;"Phone: "&amp;F164&amp;CHAR(10)&amp;"Email: "&amp;G164&amp;CHAR(10)&amp;"Prefers: "&amp;H164&amp;CHAR(10)&amp;"Enquiry: "&amp;LEFT(I164,600)&amp;CHAR(10)&amp;CHAR(10)&amp;"Sent from the Preston Mazda enquiry log.","%","%25"),"&amp;","%26")," ","%20"),"#","%23"),CHAR(10),"%0A"),"✉ Email parts"),"")</f>
        <v/>
      </c>
      <c r="U164" s="18" t="str">
        <f aca="false">IF(AND(N164="Yes",O164&lt;&gt;"Yes"),HYPERLINK("mailto:"&amp;Settings!$B$6&amp;"?subject="&amp;SUBSTITUTE(SUBSTITUTE(SUBSTITUTE(SUBSTITUTE(SUBSTITUTE("Customer contact required - "&amp;D164&amp;" "&amp;E164,"%","%25"),"&amp;","%26")," ","%20"),"#","%23"),CHAR(10),"%0A")&amp;"&amp;body="&amp;SUBSTITUTE(SUBSTITUTE(SUBSTITUTE(SUBSTITUTE(SUBSTITUTE("Ref: "&amp;A164&amp;CHAR(10)&amp;"Customer: "&amp;D164&amp;"  "&amp;E164&amp;CHAR(10)&amp;"Phone: "&amp;F164&amp;CHAR(10)&amp;"Email: "&amp;G164&amp;CHAR(10)&amp;"Prefers: "&amp;H164&amp;CHAR(10)&amp;"Enquiry: "&amp;LEFT(I164,600)&amp;CHAR(10)&amp;CHAR(10)&amp;"Sent from the Preston Mazda enquiry log.","%","%25"),"&amp;","%26")," ","%20"),"#","%23"),CHAR(10),"%0A"),"✉ Email advisors"),"")</f>
        <v/>
      </c>
      <c r="V164" s="18" t="str">
        <f aca="false">IF(OR(M164="",IFERROR(INDEX(Staff!$B$4:$B$33,MATCH(M164,Staff!$A$4:$A$33,0)),"")=""),"",HYPERLINK("mailto:"&amp;IFERROR(INDEX(Staff!$B$4:$B$33,MATCH(M164,Staff!$A$4:$A$33,0)),"")&amp;"?subject="&amp;SUBSTITUTE(SUBSTITUTE(SUBSTITUTE(SUBSTITUTE(SUBSTITUTE("Enquiry "&amp;A164&amp;" allocated to you - "&amp;D164,"%","%25"),"&amp;","%26")," ","%20"),"#","%23"),CHAR(10),"%0A")&amp;"&amp;body="&amp;SUBSTITUTE(SUBSTITUTE(SUBSTITUTE(SUBSTITUTE(SUBSTITUTE("Ref: "&amp;A164&amp;CHAR(10)&amp;"Customer: "&amp;D164&amp;"  "&amp;E164&amp;CHAR(10)&amp;"Phone: "&amp;F164&amp;CHAR(10)&amp;"Email: "&amp;G164&amp;CHAR(10)&amp;"Prefers: "&amp;H164&amp;CHAR(10)&amp;"Enquiry: "&amp;LEFT(I164,600)&amp;CHAR(10)&amp;CHAR(10)&amp;"Sent from the Preston Mazda enquiry log.","%","%25"),"&amp;","%26")," ","%20"),"#","%23"),CHAR(10),"%0A"),"✉ Email "&amp;M164))</f>
        <v/>
      </c>
      <c r="W164" s="18" t="str">
        <f aca="false">IF(OR(P164="",IFERROR(INDEX(Staff!$E$4:$E$33,MATCH(P164,Staff!$D$4:$D$33,0)),"")=""),"",HYPERLINK("mailto:"&amp;IFERROR(INDEX(Staff!$E$4:$E$33,MATCH(P164,Staff!$D$4:$D$33,0)),"")&amp;"?subject="&amp;SUBSTITUTE(SUBSTITUTE(SUBSTITUTE(SUBSTITUTE(SUBSTITUTE("Parts quote "&amp;A164&amp;" allocated to you - "&amp;D164,"%","%25"),"&amp;","%26")," ","%20"),"#","%23"),CHAR(10),"%0A")&amp;"&amp;body="&amp;SUBSTITUTE(SUBSTITUTE(SUBSTITUTE(SUBSTITUTE(SUBSTITUTE("Ref: "&amp;A164&amp;CHAR(10)&amp;"Customer: "&amp;D164&amp;"  "&amp;E164&amp;CHAR(10)&amp;"Phone: "&amp;F164&amp;CHAR(10)&amp;"Email: "&amp;G164&amp;CHAR(10)&amp;"Prefers: "&amp;H164&amp;CHAR(10)&amp;"Enquiry: "&amp;LEFT(I164,600)&amp;CHAR(10)&amp;CHAR(10)&amp;"Sent from the Preston Mazda enquiry log.","%","%25"),"&amp;","%26")," ","%20"),"#","%23"),CHAR(10),"%0A"),"✉ Email "&amp;P164))</f>
        <v/>
      </c>
    </row>
    <row r="165" customFormat="false" ht="15" hidden="false" customHeight="false" outlineLevel="0" collapsed="false">
      <c r="A165" s="10" t="str">
        <f aca="false">IF(D165="","","E-"&amp;TEXT(ROW()-3,"0000"))</f>
        <v/>
      </c>
      <c r="B165" s="11"/>
      <c r="C165" s="12"/>
      <c r="D165" s="13"/>
      <c r="E165" s="14"/>
      <c r="F165" s="12"/>
      <c r="G165" s="12"/>
      <c r="H165" s="15"/>
      <c r="I165" s="16"/>
      <c r="J165" s="17" t="str">
        <f aca="false">IF(D165="","",HYPERLINK(Settings!$B$7&amp;A165&amp;".pdf","Open "&amp;A165&amp;".pdf"))</f>
        <v/>
      </c>
      <c r="K165" s="16"/>
      <c r="L165" s="12"/>
      <c r="M165" s="12"/>
      <c r="N165" s="15"/>
      <c r="O165" s="15"/>
      <c r="P165" s="12"/>
      <c r="Q165" s="15"/>
      <c r="R165" s="15"/>
      <c r="S165" s="15" t="str">
        <f aca="false">IF(D165="","",IF(AND(O165="Yes",OR(Q165&lt;&gt;"Yes",R165="Yes")),"Complete","Open"))</f>
        <v/>
      </c>
      <c r="T165" s="18" t="str">
        <f aca="false">IF(AND(Q165="Yes",R165&lt;&gt;"Yes"),HYPERLINK("mailto:"&amp;Settings!$B$5&amp;"?subject="&amp;SUBSTITUTE(SUBSTITUTE(SUBSTITUTE(SUBSTITUTE(SUBSTITUTE("Parts quote required - "&amp;D165&amp;" "&amp;E165,"%","%25"),"&amp;","%26")," ","%20"),"#","%23"),CHAR(10),"%0A")&amp;"&amp;body="&amp;SUBSTITUTE(SUBSTITUTE(SUBSTITUTE(SUBSTITUTE(SUBSTITUTE("Ref: "&amp;A165&amp;CHAR(10)&amp;"Customer: "&amp;D165&amp;"  "&amp;E165&amp;CHAR(10)&amp;"Phone: "&amp;F165&amp;CHAR(10)&amp;"Email: "&amp;G165&amp;CHAR(10)&amp;"Prefers: "&amp;H165&amp;CHAR(10)&amp;"Enquiry: "&amp;LEFT(I165,600)&amp;CHAR(10)&amp;CHAR(10)&amp;"Sent from the Preston Mazda enquiry log.","%","%25"),"&amp;","%26")," ","%20"),"#","%23"),CHAR(10),"%0A"),"✉ Email parts"),"")</f>
        <v/>
      </c>
      <c r="U165" s="18" t="str">
        <f aca="false">IF(AND(N165="Yes",O165&lt;&gt;"Yes"),HYPERLINK("mailto:"&amp;Settings!$B$6&amp;"?subject="&amp;SUBSTITUTE(SUBSTITUTE(SUBSTITUTE(SUBSTITUTE(SUBSTITUTE("Customer contact required - "&amp;D165&amp;" "&amp;E165,"%","%25"),"&amp;","%26")," ","%20"),"#","%23"),CHAR(10),"%0A")&amp;"&amp;body="&amp;SUBSTITUTE(SUBSTITUTE(SUBSTITUTE(SUBSTITUTE(SUBSTITUTE("Ref: "&amp;A165&amp;CHAR(10)&amp;"Customer: "&amp;D165&amp;"  "&amp;E165&amp;CHAR(10)&amp;"Phone: "&amp;F165&amp;CHAR(10)&amp;"Email: "&amp;G165&amp;CHAR(10)&amp;"Prefers: "&amp;H165&amp;CHAR(10)&amp;"Enquiry: "&amp;LEFT(I165,600)&amp;CHAR(10)&amp;CHAR(10)&amp;"Sent from the Preston Mazda enquiry log.","%","%25"),"&amp;","%26")," ","%20"),"#","%23"),CHAR(10),"%0A"),"✉ Email advisors"),"")</f>
        <v/>
      </c>
      <c r="V165" s="18" t="str">
        <f aca="false">IF(OR(M165="",IFERROR(INDEX(Staff!$B$4:$B$33,MATCH(M165,Staff!$A$4:$A$33,0)),"")=""),"",HYPERLINK("mailto:"&amp;IFERROR(INDEX(Staff!$B$4:$B$33,MATCH(M165,Staff!$A$4:$A$33,0)),"")&amp;"?subject="&amp;SUBSTITUTE(SUBSTITUTE(SUBSTITUTE(SUBSTITUTE(SUBSTITUTE("Enquiry "&amp;A165&amp;" allocated to you - "&amp;D165,"%","%25"),"&amp;","%26")," ","%20"),"#","%23"),CHAR(10),"%0A")&amp;"&amp;body="&amp;SUBSTITUTE(SUBSTITUTE(SUBSTITUTE(SUBSTITUTE(SUBSTITUTE("Ref: "&amp;A165&amp;CHAR(10)&amp;"Customer: "&amp;D165&amp;"  "&amp;E165&amp;CHAR(10)&amp;"Phone: "&amp;F165&amp;CHAR(10)&amp;"Email: "&amp;G165&amp;CHAR(10)&amp;"Prefers: "&amp;H165&amp;CHAR(10)&amp;"Enquiry: "&amp;LEFT(I165,600)&amp;CHAR(10)&amp;CHAR(10)&amp;"Sent from the Preston Mazda enquiry log.","%","%25"),"&amp;","%26")," ","%20"),"#","%23"),CHAR(10),"%0A"),"✉ Email "&amp;M165))</f>
        <v/>
      </c>
      <c r="W165" s="18" t="str">
        <f aca="false">IF(OR(P165="",IFERROR(INDEX(Staff!$E$4:$E$33,MATCH(P165,Staff!$D$4:$D$33,0)),"")=""),"",HYPERLINK("mailto:"&amp;IFERROR(INDEX(Staff!$E$4:$E$33,MATCH(P165,Staff!$D$4:$D$33,0)),"")&amp;"?subject="&amp;SUBSTITUTE(SUBSTITUTE(SUBSTITUTE(SUBSTITUTE(SUBSTITUTE("Parts quote "&amp;A165&amp;" allocated to you - "&amp;D165,"%","%25"),"&amp;","%26")," ","%20"),"#","%23"),CHAR(10),"%0A")&amp;"&amp;body="&amp;SUBSTITUTE(SUBSTITUTE(SUBSTITUTE(SUBSTITUTE(SUBSTITUTE("Ref: "&amp;A165&amp;CHAR(10)&amp;"Customer: "&amp;D165&amp;"  "&amp;E165&amp;CHAR(10)&amp;"Phone: "&amp;F165&amp;CHAR(10)&amp;"Email: "&amp;G165&amp;CHAR(10)&amp;"Prefers: "&amp;H165&amp;CHAR(10)&amp;"Enquiry: "&amp;LEFT(I165,600)&amp;CHAR(10)&amp;CHAR(10)&amp;"Sent from the Preston Mazda enquiry log.","%","%25"),"&amp;","%26")," ","%20"),"#","%23"),CHAR(10),"%0A"),"✉ Email "&amp;P165))</f>
        <v/>
      </c>
    </row>
    <row r="166" customFormat="false" ht="15" hidden="false" customHeight="false" outlineLevel="0" collapsed="false">
      <c r="A166" s="10" t="str">
        <f aca="false">IF(D166="","","E-"&amp;TEXT(ROW()-3,"0000"))</f>
        <v/>
      </c>
      <c r="B166" s="11"/>
      <c r="C166" s="12"/>
      <c r="D166" s="13"/>
      <c r="E166" s="14"/>
      <c r="F166" s="12"/>
      <c r="G166" s="12"/>
      <c r="H166" s="15"/>
      <c r="I166" s="16"/>
      <c r="J166" s="17" t="str">
        <f aca="false">IF(D166="","",HYPERLINK(Settings!$B$7&amp;A166&amp;".pdf","Open "&amp;A166&amp;".pdf"))</f>
        <v/>
      </c>
      <c r="K166" s="16"/>
      <c r="L166" s="12"/>
      <c r="M166" s="12"/>
      <c r="N166" s="15"/>
      <c r="O166" s="15"/>
      <c r="P166" s="12"/>
      <c r="Q166" s="15"/>
      <c r="R166" s="15"/>
      <c r="S166" s="15" t="str">
        <f aca="false">IF(D166="","",IF(AND(O166="Yes",OR(Q166&lt;&gt;"Yes",R166="Yes")),"Complete","Open"))</f>
        <v/>
      </c>
      <c r="T166" s="18" t="str">
        <f aca="false">IF(AND(Q166="Yes",R166&lt;&gt;"Yes"),HYPERLINK("mailto:"&amp;Settings!$B$5&amp;"?subject="&amp;SUBSTITUTE(SUBSTITUTE(SUBSTITUTE(SUBSTITUTE(SUBSTITUTE("Parts quote required - "&amp;D166&amp;" "&amp;E166,"%","%25"),"&amp;","%26")," ","%20"),"#","%23"),CHAR(10),"%0A")&amp;"&amp;body="&amp;SUBSTITUTE(SUBSTITUTE(SUBSTITUTE(SUBSTITUTE(SUBSTITUTE("Ref: "&amp;A166&amp;CHAR(10)&amp;"Customer: "&amp;D166&amp;"  "&amp;E166&amp;CHAR(10)&amp;"Phone: "&amp;F166&amp;CHAR(10)&amp;"Email: "&amp;G166&amp;CHAR(10)&amp;"Prefers: "&amp;H166&amp;CHAR(10)&amp;"Enquiry: "&amp;LEFT(I166,600)&amp;CHAR(10)&amp;CHAR(10)&amp;"Sent from the Preston Mazda enquiry log.","%","%25"),"&amp;","%26")," ","%20"),"#","%23"),CHAR(10),"%0A"),"✉ Email parts"),"")</f>
        <v/>
      </c>
      <c r="U166" s="18" t="str">
        <f aca="false">IF(AND(N166="Yes",O166&lt;&gt;"Yes"),HYPERLINK("mailto:"&amp;Settings!$B$6&amp;"?subject="&amp;SUBSTITUTE(SUBSTITUTE(SUBSTITUTE(SUBSTITUTE(SUBSTITUTE("Customer contact required - "&amp;D166&amp;" "&amp;E166,"%","%25"),"&amp;","%26")," ","%20"),"#","%23"),CHAR(10),"%0A")&amp;"&amp;body="&amp;SUBSTITUTE(SUBSTITUTE(SUBSTITUTE(SUBSTITUTE(SUBSTITUTE("Ref: "&amp;A166&amp;CHAR(10)&amp;"Customer: "&amp;D166&amp;"  "&amp;E166&amp;CHAR(10)&amp;"Phone: "&amp;F166&amp;CHAR(10)&amp;"Email: "&amp;G166&amp;CHAR(10)&amp;"Prefers: "&amp;H166&amp;CHAR(10)&amp;"Enquiry: "&amp;LEFT(I166,600)&amp;CHAR(10)&amp;CHAR(10)&amp;"Sent from the Preston Mazda enquiry log.","%","%25"),"&amp;","%26")," ","%20"),"#","%23"),CHAR(10),"%0A"),"✉ Email advisors"),"")</f>
        <v/>
      </c>
      <c r="V166" s="18" t="str">
        <f aca="false">IF(OR(M166="",IFERROR(INDEX(Staff!$B$4:$B$33,MATCH(M166,Staff!$A$4:$A$33,0)),"")=""),"",HYPERLINK("mailto:"&amp;IFERROR(INDEX(Staff!$B$4:$B$33,MATCH(M166,Staff!$A$4:$A$33,0)),"")&amp;"?subject="&amp;SUBSTITUTE(SUBSTITUTE(SUBSTITUTE(SUBSTITUTE(SUBSTITUTE("Enquiry "&amp;A166&amp;" allocated to you - "&amp;D166,"%","%25"),"&amp;","%26")," ","%20"),"#","%23"),CHAR(10),"%0A")&amp;"&amp;body="&amp;SUBSTITUTE(SUBSTITUTE(SUBSTITUTE(SUBSTITUTE(SUBSTITUTE("Ref: "&amp;A166&amp;CHAR(10)&amp;"Customer: "&amp;D166&amp;"  "&amp;E166&amp;CHAR(10)&amp;"Phone: "&amp;F166&amp;CHAR(10)&amp;"Email: "&amp;G166&amp;CHAR(10)&amp;"Prefers: "&amp;H166&amp;CHAR(10)&amp;"Enquiry: "&amp;LEFT(I166,600)&amp;CHAR(10)&amp;CHAR(10)&amp;"Sent from the Preston Mazda enquiry log.","%","%25"),"&amp;","%26")," ","%20"),"#","%23"),CHAR(10),"%0A"),"✉ Email "&amp;M166))</f>
        <v/>
      </c>
      <c r="W166" s="18" t="str">
        <f aca="false">IF(OR(P166="",IFERROR(INDEX(Staff!$E$4:$E$33,MATCH(P166,Staff!$D$4:$D$33,0)),"")=""),"",HYPERLINK("mailto:"&amp;IFERROR(INDEX(Staff!$E$4:$E$33,MATCH(P166,Staff!$D$4:$D$33,0)),"")&amp;"?subject="&amp;SUBSTITUTE(SUBSTITUTE(SUBSTITUTE(SUBSTITUTE(SUBSTITUTE("Parts quote "&amp;A166&amp;" allocated to you - "&amp;D166,"%","%25"),"&amp;","%26")," ","%20"),"#","%23"),CHAR(10),"%0A")&amp;"&amp;body="&amp;SUBSTITUTE(SUBSTITUTE(SUBSTITUTE(SUBSTITUTE(SUBSTITUTE("Ref: "&amp;A166&amp;CHAR(10)&amp;"Customer: "&amp;D166&amp;"  "&amp;E166&amp;CHAR(10)&amp;"Phone: "&amp;F166&amp;CHAR(10)&amp;"Email: "&amp;G166&amp;CHAR(10)&amp;"Prefers: "&amp;H166&amp;CHAR(10)&amp;"Enquiry: "&amp;LEFT(I166,600)&amp;CHAR(10)&amp;CHAR(10)&amp;"Sent from the Preston Mazda enquiry log.","%","%25"),"&amp;","%26")," ","%20"),"#","%23"),CHAR(10),"%0A"),"✉ Email "&amp;P166))</f>
        <v/>
      </c>
    </row>
    <row r="167" customFormat="false" ht="15" hidden="false" customHeight="false" outlineLevel="0" collapsed="false">
      <c r="A167" s="10" t="str">
        <f aca="false">IF(D167="","","E-"&amp;TEXT(ROW()-3,"0000"))</f>
        <v/>
      </c>
      <c r="B167" s="11"/>
      <c r="C167" s="12"/>
      <c r="D167" s="13"/>
      <c r="E167" s="14"/>
      <c r="F167" s="12"/>
      <c r="G167" s="12"/>
      <c r="H167" s="15"/>
      <c r="I167" s="16"/>
      <c r="J167" s="17" t="str">
        <f aca="false">IF(D167="","",HYPERLINK(Settings!$B$7&amp;A167&amp;".pdf","Open "&amp;A167&amp;".pdf"))</f>
        <v/>
      </c>
      <c r="K167" s="16"/>
      <c r="L167" s="12"/>
      <c r="M167" s="12"/>
      <c r="N167" s="15"/>
      <c r="O167" s="15"/>
      <c r="P167" s="12"/>
      <c r="Q167" s="15"/>
      <c r="R167" s="15"/>
      <c r="S167" s="15" t="str">
        <f aca="false">IF(D167="","",IF(AND(O167="Yes",OR(Q167&lt;&gt;"Yes",R167="Yes")),"Complete","Open"))</f>
        <v/>
      </c>
      <c r="T167" s="18" t="str">
        <f aca="false">IF(AND(Q167="Yes",R167&lt;&gt;"Yes"),HYPERLINK("mailto:"&amp;Settings!$B$5&amp;"?subject="&amp;SUBSTITUTE(SUBSTITUTE(SUBSTITUTE(SUBSTITUTE(SUBSTITUTE("Parts quote required - "&amp;D167&amp;" "&amp;E167,"%","%25"),"&amp;","%26")," ","%20"),"#","%23"),CHAR(10),"%0A")&amp;"&amp;body="&amp;SUBSTITUTE(SUBSTITUTE(SUBSTITUTE(SUBSTITUTE(SUBSTITUTE("Ref: "&amp;A167&amp;CHAR(10)&amp;"Customer: "&amp;D167&amp;"  "&amp;E167&amp;CHAR(10)&amp;"Phone: "&amp;F167&amp;CHAR(10)&amp;"Email: "&amp;G167&amp;CHAR(10)&amp;"Prefers: "&amp;H167&amp;CHAR(10)&amp;"Enquiry: "&amp;LEFT(I167,600)&amp;CHAR(10)&amp;CHAR(10)&amp;"Sent from the Preston Mazda enquiry log.","%","%25"),"&amp;","%26")," ","%20"),"#","%23"),CHAR(10),"%0A"),"✉ Email parts"),"")</f>
        <v/>
      </c>
      <c r="U167" s="18" t="str">
        <f aca="false">IF(AND(N167="Yes",O167&lt;&gt;"Yes"),HYPERLINK("mailto:"&amp;Settings!$B$6&amp;"?subject="&amp;SUBSTITUTE(SUBSTITUTE(SUBSTITUTE(SUBSTITUTE(SUBSTITUTE("Customer contact required - "&amp;D167&amp;" "&amp;E167,"%","%25"),"&amp;","%26")," ","%20"),"#","%23"),CHAR(10),"%0A")&amp;"&amp;body="&amp;SUBSTITUTE(SUBSTITUTE(SUBSTITUTE(SUBSTITUTE(SUBSTITUTE("Ref: "&amp;A167&amp;CHAR(10)&amp;"Customer: "&amp;D167&amp;"  "&amp;E167&amp;CHAR(10)&amp;"Phone: "&amp;F167&amp;CHAR(10)&amp;"Email: "&amp;G167&amp;CHAR(10)&amp;"Prefers: "&amp;H167&amp;CHAR(10)&amp;"Enquiry: "&amp;LEFT(I167,600)&amp;CHAR(10)&amp;CHAR(10)&amp;"Sent from the Preston Mazda enquiry log.","%","%25"),"&amp;","%26")," ","%20"),"#","%23"),CHAR(10),"%0A"),"✉ Email advisors"),"")</f>
        <v/>
      </c>
      <c r="V167" s="18" t="str">
        <f aca="false">IF(OR(M167="",IFERROR(INDEX(Staff!$B$4:$B$33,MATCH(M167,Staff!$A$4:$A$33,0)),"")=""),"",HYPERLINK("mailto:"&amp;IFERROR(INDEX(Staff!$B$4:$B$33,MATCH(M167,Staff!$A$4:$A$33,0)),"")&amp;"?subject="&amp;SUBSTITUTE(SUBSTITUTE(SUBSTITUTE(SUBSTITUTE(SUBSTITUTE("Enquiry "&amp;A167&amp;" allocated to you - "&amp;D167,"%","%25"),"&amp;","%26")," ","%20"),"#","%23"),CHAR(10),"%0A")&amp;"&amp;body="&amp;SUBSTITUTE(SUBSTITUTE(SUBSTITUTE(SUBSTITUTE(SUBSTITUTE("Ref: "&amp;A167&amp;CHAR(10)&amp;"Customer: "&amp;D167&amp;"  "&amp;E167&amp;CHAR(10)&amp;"Phone: "&amp;F167&amp;CHAR(10)&amp;"Email: "&amp;G167&amp;CHAR(10)&amp;"Prefers: "&amp;H167&amp;CHAR(10)&amp;"Enquiry: "&amp;LEFT(I167,600)&amp;CHAR(10)&amp;CHAR(10)&amp;"Sent from the Preston Mazda enquiry log.","%","%25"),"&amp;","%26")," ","%20"),"#","%23"),CHAR(10),"%0A"),"✉ Email "&amp;M167))</f>
        <v/>
      </c>
      <c r="W167" s="18" t="str">
        <f aca="false">IF(OR(P167="",IFERROR(INDEX(Staff!$E$4:$E$33,MATCH(P167,Staff!$D$4:$D$33,0)),"")=""),"",HYPERLINK("mailto:"&amp;IFERROR(INDEX(Staff!$E$4:$E$33,MATCH(P167,Staff!$D$4:$D$33,0)),"")&amp;"?subject="&amp;SUBSTITUTE(SUBSTITUTE(SUBSTITUTE(SUBSTITUTE(SUBSTITUTE("Parts quote "&amp;A167&amp;" allocated to you - "&amp;D167,"%","%25"),"&amp;","%26")," ","%20"),"#","%23"),CHAR(10),"%0A")&amp;"&amp;body="&amp;SUBSTITUTE(SUBSTITUTE(SUBSTITUTE(SUBSTITUTE(SUBSTITUTE("Ref: "&amp;A167&amp;CHAR(10)&amp;"Customer: "&amp;D167&amp;"  "&amp;E167&amp;CHAR(10)&amp;"Phone: "&amp;F167&amp;CHAR(10)&amp;"Email: "&amp;G167&amp;CHAR(10)&amp;"Prefers: "&amp;H167&amp;CHAR(10)&amp;"Enquiry: "&amp;LEFT(I167,600)&amp;CHAR(10)&amp;CHAR(10)&amp;"Sent from the Preston Mazda enquiry log.","%","%25"),"&amp;","%26")," ","%20"),"#","%23"),CHAR(10),"%0A"),"✉ Email "&amp;P167))</f>
        <v/>
      </c>
    </row>
    <row r="168" customFormat="false" ht="15" hidden="false" customHeight="false" outlineLevel="0" collapsed="false">
      <c r="A168" s="10" t="str">
        <f aca="false">IF(D168="","","E-"&amp;TEXT(ROW()-3,"0000"))</f>
        <v/>
      </c>
      <c r="B168" s="11"/>
      <c r="C168" s="12"/>
      <c r="D168" s="13"/>
      <c r="E168" s="14"/>
      <c r="F168" s="12"/>
      <c r="G168" s="12"/>
      <c r="H168" s="15"/>
      <c r="I168" s="16"/>
      <c r="J168" s="17" t="str">
        <f aca="false">IF(D168="","",HYPERLINK(Settings!$B$7&amp;A168&amp;".pdf","Open "&amp;A168&amp;".pdf"))</f>
        <v/>
      </c>
      <c r="K168" s="16"/>
      <c r="L168" s="12"/>
      <c r="M168" s="12"/>
      <c r="N168" s="15"/>
      <c r="O168" s="15"/>
      <c r="P168" s="12"/>
      <c r="Q168" s="15"/>
      <c r="R168" s="15"/>
      <c r="S168" s="15" t="str">
        <f aca="false">IF(D168="","",IF(AND(O168="Yes",OR(Q168&lt;&gt;"Yes",R168="Yes")),"Complete","Open"))</f>
        <v/>
      </c>
      <c r="T168" s="18" t="str">
        <f aca="false">IF(AND(Q168="Yes",R168&lt;&gt;"Yes"),HYPERLINK("mailto:"&amp;Settings!$B$5&amp;"?subject="&amp;SUBSTITUTE(SUBSTITUTE(SUBSTITUTE(SUBSTITUTE(SUBSTITUTE("Parts quote required - "&amp;D168&amp;" "&amp;E168,"%","%25"),"&amp;","%26")," ","%20"),"#","%23"),CHAR(10),"%0A")&amp;"&amp;body="&amp;SUBSTITUTE(SUBSTITUTE(SUBSTITUTE(SUBSTITUTE(SUBSTITUTE("Ref: "&amp;A168&amp;CHAR(10)&amp;"Customer: "&amp;D168&amp;"  "&amp;E168&amp;CHAR(10)&amp;"Phone: "&amp;F168&amp;CHAR(10)&amp;"Email: "&amp;G168&amp;CHAR(10)&amp;"Prefers: "&amp;H168&amp;CHAR(10)&amp;"Enquiry: "&amp;LEFT(I168,600)&amp;CHAR(10)&amp;CHAR(10)&amp;"Sent from the Preston Mazda enquiry log.","%","%25"),"&amp;","%26")," ","%20"),"#","%23"),CHAR(10),"%0A"),"✉ Email parts"),"")</f>
        <v/>
      </c>
      <c r="U168" s="18" t="str">
        <f aca="false">IF(AND(N168="Yes",O168&lt;&gt;"Yes"),HYPERLINK("mailto:"&amp;Settings!$B$6&amp;"?subject="&amp;SUBSTITUTE(SUBSTITUTE(SUBSTITUTE(SUBSTITUTE(SUBSTITUTE("Customer contact required - "&amp;D168&amp;" "&amp;E168,"%","%25"),"&amp;","%26")," ","%20"),"#","%23"),CHAR(10),"%0A")&amp;"&amp;body="&amp;SUBSTITUTE(SUBSTITUTE(SUBSTITUTE(SUBSTITUTE(SUBSTITUTE("Ref: "&amp;A168&amp;CHAR(10)&amp;"Customer: "&amp;D168&amp;"  "&amp;E168&amp;CHAR(10)&amp;"Phone: "&amp;F168&amp;CHAR(10)&amp;"Email: "&amp;G168&amp;CHAR(10)&amp;"Prefers: "&amp;H168&amp;CHAR(10)&amp;"Enquiry: "&amp;LEFT(I168,600)&amp;CHAR(10)&amp;CHAR(10)&amp;"Sent from the Preston Mazda enquiry log.","%","%25"),"&amp;","%26")," ","%20"),"#","%23"),CHAR(10),"%0A"),"✉ Email advisors"),"")</f>
        <v/>
      </c>
      <c r="V168" s="18" t="str">
        <f aca="false">IF(OR(M168="",IFERROR(INDEX(Staff!$B$4:$B$33,MATCH(M168,Staff!$A$4:$A$33,0)),"")=""),"",HYPERLINK("mailto:"&amp;IFERROR(INDEX(Staff!$B$4:$B$33,MATCH(M168,Staff!$A$4:$A$33,0)),"")&amp;"?subject="&amp;SUBSTITUTE(SUBSTITUTE(SUBSTITUTE(SUBSTITUTE(SUBSTITUTE("Enquiry "&amp;A168&amp;" allocated to you - "&amp;D168,"%","%25"),"&amp;","%26")," ","%20"),"#","%23"),CHAR(10),"%0A")&amp;"&amp;body="&amp;SUBSTITUTE(SUBSTITUTE(SUBSTITUTE(SUBSTITUTE(SUBSTITUTE("Ref: "&amp;A168&amp;CHAR(10)&amp;"Customer: "&amp;D168&amp;"  "&amp;E168&amp;CHAR(10)&amp;"Phone: "&amp;F168&amp;CHAR(10)&amp;"Email: "&amp;G168&amp;CHAR(10)&amp;"Prefers: "&amp;H168&amp;CHAR(10)&amp;"Enquiry: "&amp;LEFT(I168,600)&amp;CHAR(10)&amp;CHAR(10)&amp;"Sent from the Preston Mazda enquiry log.","%","%25"),"&amp;","%26")," ","%20"),"#","%23"),CHAR(10),"%0A"),"✉ Email "&amp;M168))</f>
        <v/>
      </c>
      <c r="W168" s="18" t="str">
        <f aca="false">IF(OR(P168="",IFERROR(INDEX(Staff!$E$4:$E$33,MATCH(P168,Staff!$D$4:$D$33,0)),"")=""),"",HYPERLINK("mailto:"&amp;IFERROR(INDEX(Staff!$E$4:$E$33,MATCH(P168,Staff!$D$4:$D$33,0)),"")&amp;"?subject="&amp;SUBSTITUTE(SUBSTITUTE(SUBSTITUTE(SUBSTITUTE(SUBSTITUTE("Parts quote "&amp;A168&amp;" allocated to you - "&amp;D168,"%","%25"),"&amp;","%26")," ","%20"),"#","%23"),CHAR(10),"%0A")&amp;"&amp;body="&amp;SUBSTITUTE(SUBSTITUTE(SUBSTITUTE(SUBSTITUTE(SUBSTITUTE("Ref: "&amp;A168&amp;CHAR(10)&amp;"Customer: "&amp;D168&amp;"  "&amp;E168&amp;CHAR(10)&amp;"Phone: "&amp;F168&amp;CHAR(10)&amp;"Email: "&amp;G168&amp;CHAR(10)&amp;"Prefers: "&amp;H168&amp;CHAR(10)&amp;"Enquiry: "&amp;LEFT(I168,600)&amp;CHAR(10)&amp;CHAR(10)&amp;"Sent from the Preston Mazda enquiry log.","%","%25"),"&amp;","%26")," ","%20"),"#","%23"),CHAR(10),"%0A"),"✉ Email "&amp;P168))</f>
        <v/>
      </c>
    </row>
    <row r="169" customFormat="false" ht="15" hidden="false" customHeight="false" outlineLevel="0" collapsed="false">
      <c r="A169" s="10" t="str">
        <f aca="false">IF(D169="","","E-"&amp;TEXT(ROW()-3,"0000"))</f>
        <v/>
      </c>
      <c r="B169" s="11"/>
      <c r="C169" s="12"/>
      <c r="D169" s="13"/>
      <c r="E169" s="14"/>
      <c r="F169" s="12"/>
      <c r="G169" s="12"/>
      <c r="H169" s="15"/>
      <c r="I169" s="16"/>
      <c r="J169" s="17" t="str">
        <f aca="false">IF(D169="","",HYPERLINK(Settings!$B$7&amp;A169&amp;".pdf","Open "&amp;A169&amp;".pdf"))</f>
        <v/>
      </c>
      <c r="K169" s="16"/>
      <c r="L169" s="12"/>
      <c r="M169" s="12"/>
      <c r="N169" s="15"/>
      <c r="O169" s="15"/>
      <c r="P169" s="12"/>
      <c r="Q169" s="15"/>
      <c r="R169" s="15"/>
      <c r="S169" s="15" t="str">
        <f aca="false">IF(D169="","",IF(AND(O169="Yes",OR(Q169&lt;&gt;"Yes",R169="Yes")),"Complete","Open"))</f>
        <v/>
      </c>
      <c r="T169" s="18" t="str">
        <f aca="false">IF(AND(Q169="Yes",R169&lt;&gt;"Yes"),HYPERLINK("mailto:"&amp;Settings!$B$5&amp;"?subject="&amp;SUBSTITUTE(SUBSTITUTE(SUBSTITUTE(SUBSTITUTE(SUBSTITUTE("Parts quote required - "&amp;D169&amp;" "&amp;E169,"%","%25"),"&amp;","%26")," ","%20"),"#","%23"),CHAR(10),"%0A")&amp;"&amp;body="&amp;SUBSTITUTE(SUBSTITUTE(SUBSTITUTE(SUBSTITUTE(SUBSTITUTE("Ref: "&amp;A169&amp;CHAR(10)&amp;"Customer: "&amp;D169&amp;"  "&amp;E169&amp;CHAR(10)&amp;"Phone: "&amp;F169&amp;CHAR(10)&amp;"Email: "&amp;G169&amp;CHAR(10)&amp;"Prefers: "&amp;H169&amp;CHAR(10)&amp;"Enquiry: "&amp;LEFT(I169,600)&amp;CHAR(10)&amp;CHAR(10)&amp;"Sent from the Preston Mazda enquiry log.","%","%25"),"&amp;","%26")," ","%20"),"#","%23"),CHAR(10),"%0A"),"✉ Email parts"),"")</f>
        <v/>
      </c>
      <c r="U169" s="18" t="str">
        <f aca="false">IF(AND(N169="Yes",O169&lt;&gt;"Yes"),HYPERLINK("mailto:"&amp;Settings!$B$6&amp;"?subject="&amp;SUBSTITUTE(SUBSTITUTE(SUBSTITUTE(SUBSTITUTE(SUBSTITUTE("Customer contact required - "&amp;D169&amp;" "&amp;E169,"%","%25"),"&amp;","%26")," ","%20"),"#","%23"),CHAR(10),"%0A")&amp;"&amp;body="&amp;SUBSTITUTE(SUBSTITUTE(SUBSTITUTE(SUBSTITUTE(SUBSTITUTE("Ref: "&amp;A169&amp;CHAR(10)&amp;"Customer: "&amp;D169&amp;"  "&amp;E169&amp;CHAR(10)&amp;"Phone: "&amp;F169&amp;CHAR(10)&amp;"Email: "&amp;G169&amp;CHAR(10)&amp;"Prefers: "&amp;H169&amp;CHAR(10)&amp;"Enquiry: "&amp;LEFT(I169,600)&amp;CHAR(10)&amp;CHAR(10)&amp;"Sent from the Preston Mazda enquiry log.","%","%25"),"&amp;","%26")," ","%20"),"#","%23"),CHAR(10),"%0A"),"✉ Email advisors"),"")</f>
        <v/>
      </c>
      <c r="V169" s="18" t="str">
        <f aca="false">IF(OR(M169="",IFERROR(INDEX(Staff!$B$4:$B$33,MATCH(M169,Staff!$A$4:$A$33,0)),"")=""),"",HYPERLINK("mailto:"&amp;IFERROR(INDEX(Staff!$B$4:$B$33,MATCH(M169,Staff!$A$4:$A$33,0)),"")&amp;"?subject="&amp;SUBSTITUTE(SUBSTITUTE(SUBSTITUTE(SUBSTITUTE(SUBSTITUTE("Enquiry "&amp;A169&amp;" allocated to you - "&amp;D169,"%","%25"),"&amp;","%26")," ","%20"),"#","%23"),CHAR(10),"%0A")&amp;"&amp;body="&amp;SUBSTITUTE(SUBSTITUTE(SUBSTITUTE(SUBSTITUTE(SUBSTITUTE("Ref: "&amp;A169&amp;CHAR(10)&amp;"Customer: "&amp;D169&amp;"  "&amp;E169&amp;CHAR(10)&amp;"Phone: "&amp;F169&amp;CHAR(10)&amp;"Email: "&amp;G169&amp;CHAR(10)&amp;"Prefers: "&amp;H169&amp;CHAR(10)&amp;"Enquiry: "&amp;LEFT(I169,600)&amp;CHAR(10)&amp;CHAR(10)&amp;"Sent from the Preston Mazda enquiry log.","%","%25"),"&amp;","%26")," ","%20"),"#","%23"),CHAR(10),"%0A"),"✉ Email "&amp;M169))</f>
        <v/>
      </c>
      <c r="W169" s="18" t="str">
        <f aca="false">IF(OR(P169="",IFERROR(INDEX(Staff!$E$4:$E$33,MATCH(P169,Staff!$D$4:$D$33,0)),"")=""),"",HYPERLINK("mailto:"&amp;IFERROR(INDEX(Staff!$E$4:$E$33,MATCH(P169,Staff!$D$4:$D$33,0)),"")&amp;"?subject="&amp;SUBSTITUTE(SUBSTITUTE(SUBSTITUTE(SUBSTITUTE(SUBSTITUTE("Parts quote "&amp;A169&amp;" allocated to you - "&amp;D169,"%","%25"),"&amp;","%26")," ","%20"),"#","%23"),CHAR(10),"%0A")&amp;"&amp;body="&amp;SUBSTITUTE(SUBSTITUTE(SUBSTITUTE(SUBSTITUTE(SUBSTITUTE("Ref: "&amp;A169&amp;CHAR(10)&amp;"Customer: "&amp;D169&amp;"  "&amp;E169&amp;CHAR(10)&amp;"Phone: "&amp;F169&amp;CHAR(10)&amp;"Email: "&amp;G169&amp;CHAR(10)&amp;"Prefers: "&amp;H169&amp;CHAR(10)&amp;"Enquiry: "&amp;LEFT(I169,600)&amp;CHAR(10)&amp;CHAR(10)&amp;"Sent from the Preston Mazda enquiry log.","%","%25"),"&amp;","%26")," ","%20"),"#","%23"),CHAR(10),"%0A"),"✉ Email "&amp;P169))</f>
        <v/>
      </c>
    </row>
    <row r="170" customFormat="false" ht="15" hidden="false" customHeight="false" outlineLevel="0" collapsed="false">
      <c r="A170" s="10" t="str">
        <f aca="false">IF(D170="","","E-"&amp;TEXT(ROW()-3,"0000"))</f>
        <v/>
      </c>
      <c r="B170" s="11"/>
      <c r="C170" s="12"/>
      <c r="D170" s="13"/>
      <c r="E170" s="14"/>
      <c r="F170" s="12"/>
      <c r="G170" s="12"/>
      <c r="H170" s="15"/>
      <c r="I170" s="16"/>
      <c r="J170" s="17" t="str">
        <f aca="false">IF(D170="","",HYPERLINK(Settings!$B$7&amp;A170&amp;".pdf","Open "&amp;A170&amp;".pdf"))</f>
        <v/>
      </c>
      <c r="K170" s="16"/>
      <c r="L170" s="12"/>
      <c r="M170" s="12"/>
      <c r="N170" s="15"/>
      <c r="O170" s="15"/>
      <c r="P170" s="12"/>
      <c r="Q170" s="15"/>
      <c r="R170" s="15"/>
      <c r="S170" s="15" t="str">
        <f aca="false">IF(D170="","",IF(AND(O170="Yes",OR(Q170&lt;&gt;"Yes",R170="Yes")),"Complete","Open"))</f>
        <v/>
      </c>
      <c r="T170" s="18" t="str">
        <f aca="false">IF(AND(Q170="Yes",R170&lt;&gt;"Yes"),HYPERLINK("mailto:"&amp;Settings!$B$5&amp;"?subject="&amp;SUBSTITUTE(SUBSTITUTE(SUBSTITUTE(SUBSTITUTE(SUBSTITUTE("Parts quote required - "&amp;D170&amp;" "&amp;E170,"%","%25"),"&amp;","%26")," ","%20"),"#","%23"),CHAR(10),"%0A")&amp;"&amp;body="&amp;SUBSTITUTE(SUBSTITUTE(SUBSTITUTE(SUBSTITUTE(SUBSTITUTE("Ref: "&amp;A170&amp;CHAR(10)&amp;"Customer: "&amp;D170&amp;"  "&amp;E170&amp;CHAR(10)&amp;"Phone: "&amp;F170&amp;CHAR(10)&amp;"Email: "&amp;G170&amp;CHAR(10)&amp;"Prefers: "&amp;H170&amp;CHAR(10)&amp;"Enquiry: "&amp;LEFT(I170,600)&amp;CHAR(10)&amp;CHAR(10)&amp;"Sent from the Preston Mazda enquiry log.","%","%25"),"&amp;","%26")," ","%20"),"#","%23"),CHAR(10),"%0A"),"✉ Email parts"),"")</f>
        <v/>
      </c>
      <c r="U170" s="18" t="str">
        <f aca="false">IF(AND(N170="Yes",O170&lt;&gt;"Yes"),HYPERLINK("mailto:"&amp;Settings!$B$6&amp;"?subject="&amp;SUBSTITUTE(SUBSTITUTE(SUBSTITUTE(SUBSTITUTE(SUBSTITUTE("Customer contact required - "&amp;D170&amp;" "&amp;E170,"%","%25"),"&amp;","%26")," ","%20"),"#","%23"),CHAR(10),"%0A")&amp;"&amp;body="&amp;SUBSTITUTE(SUBSTITUTE(SUBSTITUTE(SUBSTITUTE(SUBSTITUTE("Ref: "&amp;A170&amp;CHAR(10)&amp;"Customer: "&amp;D170&amp;"  "&amp;E170&amp;CHAR(10)&amp;"Phone: "&amp;F170&amp;CHAR(10)&amp;"Email: "&amp;G170&amp;CHAR(10)&amp;"Prefers: "&amp;H170&amp;CHAR(10)&amp;"Enquiry: "&amp;LEFT(I170,600)&amp;CHAR(10)&amp;CHAR(10)&amp;"Sent from the Preston Mazda enquiry log.","%","%25"),"&amp;","%26")," ","%20"),"#","%23"),CHAR(10),"%0A"),"✉ Email advisors"),"")</f>
        <v/>
      </c>
      <c r="V170" s="18" t="str">
        <f aca="false">IF(OR(M170="",IFERROR(INDEX(Staff!$B$4:$B$33,MATCH(M170,Staff!$A$4:$A$33,0)),"")=""),"",HYPERLINK("mailto:"&amp;IFERROR(INDEX(Staff!$B$4:$B$33,MATCH(M170,Staff!$A$4:$A$33,0)),"")&amp;"?subject="&amp;SUBSTITUTE(SUBSTITUTE(SUBSTITUTE(SUBSTITUTE(SUBSTITUTE("Enquiry "&amp;A170&amp;" allocated to you - "&amp;D170,"%","%25"),"&amp;","%26")," ","%20"),"#","%23"),CHAR(10),"%0A")&amp;"&amp;body="&amp;SUBSTITUTE(SUBSTITUTE(SUBSTITUTE(SUBSTITUTE(SUBSTITUTE("Ref: "&amp;A170&amp;CHAR(10)&amp;"Customer: "&amp;D170&amp;"  "&amp;E170&amp;CHAR(10)&amp;"Phone: "&amp;F170&amp;CHAR(10)&amp;"Email: "&amp;G170&amp;CHAR(10)&amp;"Prefers: "&amp;H170&amp;CHAR(10)&amp;"Enquiry: "&amp;LEFT(I170,600)&amp;CHAR(10)&amp;CHAR(10)&amp;"Sent from the Preston Mazda enquiry log.","%","%25"),"&amp;","%26")," ","%20"),"#","%23"),CHAR(10),"%0A"),"✉ Email "&amp;M170))</f>
        <v/>
      </c>
      <c r="W170" s="18" t="str">
        <f aca="false">IF(OR(P170="",IFERROR(INDEX(Staff!$E$4:$E$33,MATCH(P170,Staff!$D$4:$D$33,0)),"")=""),"",HYPERLINK("mailto:"&amp;IFERROR(INDEX(Staff!$E$4:$E$33,MATCH(P170,Staff!$D$4:$D$33,0)),"")&amp;"?subject="&amp;SUBSTITUTE(SUBSTITUTE(SUBSTITUTE(SUBSTITUTE(SUBSTITUTE("Parts quote "&amp;A170&amp;" allocated to you - "&amp;D170,"%","%25"),"&amp;","%26")," ","%20"),"#","%23"),CHAR(10),"%0A")&amp;"&amp;body="&amp;SUBSTITUTE(SUBSTITUTE(SUBSTITUTE(SUBSTITUTE(SUBSTITUTE("Ref: "&amp;A170&amp;CHAR(10)&amp;"Customer: "&amp;D170&amp;"  "&amp;E170&amp;CHAR(10)&amp;"Phone: "&amp;F170&amp;CHAR(10)&amp;"Email: "&amp;G170&amp;CHAR(10)&amp;"Prefers: "&amp;H170&amp;CHAR(10)&amp;"Enquiry: "&amp;LEFT(I170,600)&amp;CHAR(10)&amp;CHAR(10)&amp;"Sent from the Preston Mazda enquiry log.","%","%25"),"&amp;","%26")," ","%20"),"#","%23"),CHAR(10),"%0A"),"✉ Email "&amp;P170))</f>
        <v/>
      </c>
    </row>
    <row r="171" customFormat="false" ht="15" hidden="false" customHeight="false" outlineLevel="0" collapsed="false">
      <c r="A171" s="10" t="str">
        <f aca="false">IF(D171="","","E-"&amp;TEXT(ROW()-3,"0000"))</f>
        <v/>
      </c>
      <c r="B171" s="11"/>
      <c r="C171" s="12"/>
      <c r="D171" s="13"/>
      <c r="E171" s="14"/>
      <c r="F171" s="12"/>
      <c r="G171" s="12"/>
      <c r="H171" s="15"/>
      <c r="I171" s="16"/>
      <c r="J171" s="17" t="str">
        <f aca="false">IF(D171="","",HYPERLINK(Settings!$B$7&amp;A171&amp;".pdf","Open "&amp;A171&amp;".pdf"))</f>
        <v/>
      </c>
      <c r="K171" s="16"/>
      <c r="L171" s="12"/>
      <c r="M171" s="12"/>
      <c r="N171" s="15"/>
      <c r="O171" s="15"/>
      <c r="P171" s="12"/>
      <c r="Q171" s="15"/>
      <c r="R171" s="15"/>
      <c r="S171" s="15" t="str">
        <f aca="false">IF(D171="","",IF(AND(O171="Yes",OR(Q171&lt;&gt;"Yes",R171="Yes")),"Complete","Open"))</f>
        <v/>
      </c>
      <c r="T171" s="18" t="str">
        <f aca="false">IF(AND(Q171="Yes",R171&lt;&gt;"Yes"),HYPERLINK("mailto:"&amp;Settings!$B$5&amp;"?subject="&amp;SUBSTITUTE(SUBSTITUTE(SUBSTITUTE(SUBSTITUTE(SUBSTITUTE("Parts quote required - "&amp;D171&amp;" "&amp;E171,"%","%25"),"&amp;","%26")," ","%20"),"#","%23"),CHAR(10),"%0A")&amp;"&amp;body="&amp;SUBSTITUTE(SUBSTITUTE(SUBSTITUTE(SUBSTITUTE(SUBSTITUTE("Ref: "&amp;A171&amp;CHAR(10)&amp;"Customer: "&amp;D171&amp;"  "&amp;E171&amp;CHAR(10)&amp;"Phone: "&amp;F171&amp;CHAR(10)&amp;"Email: "&amp;G171&amp;CHAR(10)&amp;"Prefers: "&amp;H171&amp;CHAR(10)&amp;"Enquiry: "&amp;LEFT(I171,600)&amp;CHAR(10)&amp;CHAR(10)&amp;"Sent from the Preston Mazda enquiry log.","%","%25"),"&amp;","%26")," ","%20"),"#","%23"),CHAR(10),"%0A"),"✉ Email parts"),"")</f>
        <v/>
      </c>
      <c r="U171" s="18" t="str">
        <f aca="false">IF(AND(N171="Yes",O171&lt;&gt;"Yes"),HYPERLINK("mailto:"&amp;Settings!$B$6&amp;"?subject="&amp;SUBSTITUTE(SUBSTITUTE(SUBSTITUTE(SUBSTITUTE(SUBSTITUTE("Customer contact required - "&amp;D171&amp;" "&amp;E171,"%","%25"),"&amp;","%26")," ","%20"),"#","%23"),CHAR(10),"%0A")&amp;"&amp;body="&amp;SUBSTITUTE(SUBSTITUTE(SUBSTITUTE(SUBSTITUTE(SUBSTITUTE("Ref: "&amp;A171&amp;CHAR(10)&amp;"Customer: "&amp;D171&amp;"  "&amp;E171&amp;CHAR(10)&amp;"Phone: "&amp;F171&amp;CHAR(10)&amp;"Email: "&amp;G171&amp;CHAR(10)&amp;"Prefers: "&amp;H171&amp;CHAR(10)&amp;"Enquiry: "&amp;LEFT(I171,600)&amp;CHAR(10)&amp;CHAR(10)&amp;"Sent from the Preston Mazda enquiry log.","%","%25"),"&amp;","%26")," ","%20"),"#","%23"),CHAR(10),"%0A"),"✉ Email advisors"),"")</f>
        <v/>
      </c>
      <c r="V171" s="18" t="str">
        <f aca="false">IF(OR(M171="",IFERROR(INDEX(Staff!$B$4:$B$33,MATCH(M171,Staff!$A$4:$A$33,0)),"")=""),"",HYPERLINK("mailto:"&amp;IFERROR(INDEX(Staff!$B$4:$B$33,MATCH(M171,Staff!$A$4:$A$33,0)),"")&amp;"?subject="&amp;SUBSTITUTE(SUBSTITUTE(SUBSTITUTE(SUBSTITUTE(SUBSTITUTE("Enquiry "&amp;A171&amp;" allocated to you - "&amp;D171,"%","%25"),"&amp;","%26")," ","%20"),"#","%23"),CHAR(10),"%0A")&amp;"&amp;body="&amp;SUBSTITUTE(SUBSTITUTE(SUBSTITUTE(SUBSTITUTE(SUBSTITUTE("Ref: "&amp;A171&amp;CHAR(10)&amp;"Customer: "&amp;D171&amp;"  "&amp;E171&amp;CHAR(10)&amp;"Phone: "&amp;F171&amp;CHAR(10)&amp;"Email: "&amp;G171&amp;CHAR(10)&amp;"Prefers: "&amp;H171&amp;CHAR(10)&amp;"Enquiry: "&amp;LEFT(I171,600)&amp;CHAR(10)&amp;CHAR(10)&amp;"Sent from the Preston Mazda enquiry log.","%","%25"),"&amp;","%26")," ","%20"),"#","%23"),CHAR(10),"%0A"),"✉ Email "&amp;M171))</f>
        <v/>
      </c>
      <c r="W171" s="18" t="str">
        <f aca="false">IF(OR(P171="",IFERROR(INDEX(Staff!$E$4:$E$33,MATCH(P171,Staff!$D$4:$D$33,0)),"")=""),"",HYPERLINK("mailto:"&amp;IFERROR(INDEX(Staff!$E$4:$E$33,MATCH(P171,Staff!$D$4:$D$33,0)),"")&amp;"?subject="&amp;SUBSTITUTE(SUBSTITUTE(SUBSTITUTE(SUBSTITUTE(SUBSTITUTE("Parts quote "&amp;A171&amp;" allocated to you - "&amp;D171,"%","%25"),"&amp;","%26")," ","%20"),"#","%23"),CHAR(10),"%0A")&amp;"&amp;body="&amp;SUBSTITUTE(SUBSTITUTE(SUBSTITUTE(SUBSTITUTE(SUBSTITUTE("Ref: "&amp;A171&amp;CHAR(10)&amp;"Customer: "&amp;D171&amp;"  "&amp;E171&amp;CHAR(10)&amp;"Phone: "&amp;F171&amp;CHAR(10)&amp;"Email: "&amp;G171&amp;CHAR(10)&amp;"Prefers: "&amp;H171&amp;CHAR(10)&amp;"Enquiry: "&amp;LEFT(I171,600)&amp;CHAR(10)&amp;CHAR(10)&amp;"Sent from the Preston Mazda enquiry log.","%","%25"),"&amp;","%26")," ","%20"),"#","%23"),CHAR(10),"%0A"),"✉ Email "&amp;P171))</f>
        <v/>
      </c>
    </row>
    <row r="172" customFormat="false" ht="15" hidden="false" customHeight="false" outlineLevel="0" collapsed="false">
      <c r="A172" s="10" t="str">
        <f aca="false">IF(D172="","","E-"&amp;TEXT(ROW()-3,"0000"))</f>
        <v/>
      </c>
      <c r="B172" s="11"/>
      <c r="C172" s="12"/>
      <c r="D172" s="13"/>
      <c r="E172" s="14"/>
      <c r="F172" s="12"/>
      <c r="G172" s="12"/>
      <c r="H172" s="15"/>
      <c r="I172" s="16"/>
      <c r="J172" s="17" t="str">
        <f aca="false">IF(D172="","",HYPERLINK(Settings!$B$7&amp;A172&amp;".pdf","Open "&amp;A172&amp;".pdf"))</f>
        <v/>
      </c>
      <c r="K172" s="16"/>
      <c r="L172" s="12"/>
      <c r="M172" s="12"/>
      <c r="N172" s="15"/>
      <c r="O172" s="15"/>
      <c r="P172" s="12"/>
      <c r="Q172" s="15"/>
      <c r="R172" s="15"/>
      <c r="S172" s="15" t="str">
        <f aca="false">IF(D172="","",IF(AND(O172="Yes",OR(Q172&lt;&gt;"Yes",R172="Yes")),"Complete","Open"))</f>
        <v/>
      </c>
      <c r="T172" s="18" t="str">
        <f aca="false">IF(AND(Q172="Yes",R172&lt;&gt;"Yes"),HYPERLINK("mailto:"&amp;Settings!$B$5&amp;"?subject="&amp;SUBSTITUTE(SUBSTITUTE(SUBSTITUTE(SUBSTITUTE(SUBSTITUTE("Parts quote required - "&amp;D172&amp;" "&amp;E172,"%","%25"),"&amp;","%26")," ","%20"),"#","%23"),CHAR(10),"%0A")&amp;"&amp;body="&amp;SUBSTITUTE(SUBSTITUTE(SUBSTITUTE(SUBSTITUTE(SUBSTITUTE("Ref: "&amp;A172&amp;CHAR(10)&amp;"Customer: "&amp;D172&amp;"  "&amp;E172&amp;CHAR(10)&amp;"Phone: "&amp;F172&amp;CHAR(10)&amp;"Email: "&amp;G172&amp;CHAR(10)&amp;"Prefers: "&amp;H172&amp;CHAR(10)&amp;"Enquiry: "&amp;LEFT(I172,600)&amp;CHAR(10)&amp;CHAR(10)&amp;"Sent from the Preston Mazda enquiry log.","%","%25"),"&amp;","%26")," ","%20"),"#","%23"),CHAR(10),"%0A"),"✉ Email parts"),"")</f>
        <v/>
      </c>
      <c r="U172" s="18" t="str">
        <f aca="false">IF(AND(N172="Yes",O172&lt;&gt;"Yes"),HYPERLINK("mailto:"&amp;Settings!$B$6&amp;"?subject="&amp;SUBSTITUTE(SUBSTITUTE(SUBSTITUTE(SUBSTITUTE(SUBSTITUTE("Customer contact required - "&amp;D172&amp;" "&amp;E172,"%","%25"),"&amp;","%26")," ","%20"),"#","%23"),CHAR(10),"%0A")&amp;"&amp;body="&amp;SUBSTITUTE(SUBSTITUTE(SUBSTITUTE(SUBSTITUTE(SUBSTITUTE("Ref: "&amp;A172&amp;CHAR(10)&amp;"Customer: "&amp;D172&amp;"  "&amp;E172&amp;CHAR(10)&amp;"Phone: "&amp;F172&amp;CHAR(10)&amp;"Email: "&amp;G172&amp;CHAR(10)&amp;"Prefers: "&amp;H172&amp;CHAR(10)&amp;"Enquiry: "&amp;LEFT(I172,600)&amp;CHAR(10)&amp;CHAR(10)&amp;"Sent from the Preston Mazda enquiry log.","%","%25"),"&amp;","%26")," ","%20"),"#","%23"),CHAR(10),"%0A"),"✉ Email advisors"),"")</f>
        <v/>
      </c>
      <c r="V172" s="18" t="str">
        <f aca="false">IF(OR(M172="",IFERROR(INDEX(Staff!$B$4:$B$33,MATCH(M172,Staff!$A$4:$A$33,0)),"")=""),"",HYPERLINK("mailto:"&amp;IFERROR(INDEX(Staff!$B$4:$B$33,MATCH(M172,Staff!$A$4:$A$33,0)),"")&amp;"?subject="&amp;SUBSTITUTE(SUBSTITUTE(SUBSTITUTE(SUBSTITUTE(SUBSTITUTE("Enquiry "&amp;A172&amp;" allocated to you - "&amp;D172,"%","%25"),"&amp;","%26")," ","%20"),"#","%23"),CHAR(10),"%0A")&amp;"&amp;body="&amp;SUBSTITUTE(SUBSTITUTE(SUBSTITUTE(SUBSTITUTE(SUBSTITUTE("Ref: "&amp;A172&amp;CHAR(10)&amp;"Customer: "&amp;D172&amp;"  "&amp;E172&amp;CHAR(10)&amp;"Phone: "&amp;F172&amp;CHAR(10)&amp;"Email: "&amp;G172&amp;CHAR(10)&amp;"Prefers: "&amp;H172&amp;CHAR(10)&amp;"Enquiry: "&amp;LEFT(I172,600)&amp;CHAR(10)&amp;CHAR(10)&amp;"Sent from the Preston Mazda enquiry log.","%","%25"),"&amp;","%26")," ","%20"),"#","%23"),CHAR(10),"%0A"),"✉ Email "&amp;M172))</f>
        <v/>
      </c>
      <c r="W172" s="18" t="str">
        <f aca="false">IF(OR(P172="",IFERROR(INDEX(Staff!$E$4:$E$33,MATCH(P172,Staff!$D$4:$D$33,0)),"")=""),"",HYPERLINK("mailto:"&amp;IFERROR(INDEX(Staff!$E$4:$E$33,MATCH(P172,Staff!$D$4:$D$33,0)),"")&amp;"?subject="&amp;SUBSTITUTE(SUBSTITUTE(SUBSTITUTE(SUBSTITUTE(SUBSTITUTE("Parts quote "&amp;A172&amp;" allocated to you - "&amp;D172,"%","%25"),"&amp;","%26")," ","%20"),"#","%23"),CHAR(10),"%0A")&amp;"&amp;body="&amp;SUBSTITUTE(SUBSTITUTE(SUBSTITUTE(SUBSTITUTE(SUBSTITUTE("Ref: "&amp;A172&amp;CHAR(10)&amp;"Customer: "&amp;D172&amp;"  "&amp;E172&amp;CHAR(10)&amp;"Phone: "&amp;F172&amp;CHAR(10)&amp;"Email: "&amp;G172&amp;CHAR(10)&amp;"Prefers: "&amp;H172&amp;CHAR(10)&amp;"Enquiry: "&amp;LEFT(I172,600)&amp;CHAR(10)&amp;CHAR(10)&amp;"Sent from the Preston Mazda enquiry log.","%","%25"),"&amp;","%26")," ","%20"),"#","%23"),CHAR(10),"%0A"),"✉ Email "&amp;P172))</f>
        <v/>
      </c>
    </row>
    <row r="173" customFormat="false" ht="15" hidden="false" customHeight="false" outlineLevel="0" collapsed="false">
      <c r="A173" s="10" t="str">
        <f aca="false">IF(D173="","","E-"&amp;TEXT(ROW()-3,"0000"))</f>
        <v/>
      </c>
      <c r="B173" s="11"/>
      <c r="C173" s="12"/>
      <c r="D173" s="13"/>
      <c r="E173" s="14"/>
      <c r="F173" s="12"/>
      <c r="G173" s="12"/>
      <c r="H173" s="15"/>
      <c r="I173" s="16"/>
      <c r="J173" s="17" t="str">
        <f aca="false">IF(D173="","",HYPERLINK(Settings!$B$7&amp;A173&amp;".pdf","Open "&amp;A173&amp;".pdf"))</f>
        <v/>
      </c>
      <c r="K173" s="16"/>
      <c r="L173" s="12"/>
      <c r="M173" s="12"/>
      <c r="N173" s="15"/>
      <c r="O173" s="15"/>
      <c r="P173" s="12"/>
      <c r="Q173" s="15"/>
      <c r="R173" s="15"/>
      <c r="S173" s="15" t="str">
        <f aca="false">IF(D173="","",IF(AND(O173="Yes",OR(Q173&lt;&gt;"Yes",R173="Yes")),"Complete","Open"))</f>
        <v/>
      </c>
      <c r="T173" s="18" t="str">
        <f aca="false">IF(AND(Q173="Yes",R173&lt;&gt;"Yes"),HYPERLINK("mailto:"&amp;Settings!$B$5&amp;"?subject="&amp;SUBSTITUTE(SUBSTITUTE(SUBSTITUTE(SUBSTITUTE(SUBSTITUTE("Parts quote required - "&amp;D173&amp;" "&amp;E173,"%","%25"),"&amp;","%26")," ","%20"),"#","%23"),CHAR(10),"%0A")&amp;"&amp;body="&amp;SUBSTITUTE(SUBSTITUTE(SUBSTITUTE(SUBSTITUTE(SUBSTITUTE("Ref: "&amp;A173&amp;CHAR(10)&amp;"Customer: "&amp;D173&amp;"  "&amp;E173&amp;CHAR(10)&amp;"Phone: "&amp;F173&amp;CHAR(10)&amp;"Email: "&amp;G173&amp;CHAR(10)&amp;"Prefers: "&amp;H173&amp;CHAR(10)&amp;"Enquiry: "&amp;LEFT(I173,600)&amp;CHAR(10)&amp;CHAR(10)&amp;"Sent from the Preston Mazda enquiry log.","%","%25"),"&amp;","%26")," ","%20"),"#","%23"),CHAR(10),"%0A"),"✉ Email parts"),"")</f>
        <v/>
      </c>
      <c r="U173" s="18" t="str">
        <f aca="false">IF(AND(N173="Yes",O173&lt;&gt;"Yes"),HYPERLINK("mailto:"&amp;Settings!$B$6&amp;"?subject="&amp;SUBSTITUTE(SUBSTITUTE(SUBSTITUTE(SUBSTITUTE(SUBSTITUTE("Customer contact required - "&amp;D173&amp;" "&amp;E173,"%","%25"),"&amp;","%26")," ","%20"),"#","%23"),CHAR(10),"%0A")&amp;"&amp;body="&amp;SUBSTITUTE(SUBSTITUTE(SUBSTITUTE(SUBSTITUTE(SUBSTITUTE("Ref: "&amp;A173&amp;CHAR(10)&amp;"Customer: "&amp;D173&amp;"  "&amp;E173&amp;CHAR(10)&amp;"Phone: "&amp;F173&amp;CHAR(10)&amp;"Email: "&amp;G173&amp;CHAR(10)&amp;"Prefers: "&amp;H173&amp;CHAR(10)&amp;"Enquiry: "&amp;LEFT(I173,600)&amp;CHAR(10)&amp;CHAR(10)&amp;"Sent from the Preston Mazda enquiry log.","%","%25"),"&amp;","%26")," ","%20"),"#","%23"),CHAR(10),"%0A"),"✉ Email advisors"),"")</f>
        <v/>
      </c>
      <c r="V173" s="18" t="str">
        <f aca="false">IF(OR(M173="",IFERROR(INDEX(Staff!$B$4:$B$33,MATCH(M173,Staff!$A$4:$A$33,0)),"")=""),"",HYPERLINK("mailto:"&amp;IFERROR(INDEX(Staff!$B$4:$B$33,MATCH(M173,Staff!$A$4:$A$33,0)),"")&amp;"?subject="&amp;SUBSTITUTE(SUBSTITUTE(SUBSTITUTE(SUBSTITUTE(SUBSTITUTE("Enquiry "&amp;A173&amp;" allocated to you - "&amp;D173,"%","%25"),"&amp;","%26")," ","%20"),"#","%23"),CHAR(10),"%0A")&amp;"&amp;body="&amp;SUBSTITUTE(SUBSTITUTE(SUBSTITUTE(SUBSTITUTE(SUBSTITUTE("Ref: "&amp;A173&amp;CHAR(10)&amp;"Customer: "&amp;D173&amp;"  "&amp;E173&amp;CHAR(10)&amp;"Phone: "&amp;F173&amp;CHAR(10)&amp;"Email: "&amp;G173&amp;CHAR(10)&amp;"Prefers: "&amp;H173&amp;CHAR(10)&amp;"Enquiry: "&amp;LEFT(I173,600)&amp;CHAR(10)&amp;CHAR(10)&amp;"Sent from the Preston Mazda enquiry log.","%","%25"),"&amp;","%26")," ","%20"),"#","%23"),CHAR(10),"%0A"),"✉ Email "&amp;M173))</f>
        <v/>
      </c>
      <c r="W173" s="18" t="str">
        <f aca="false">IF(OR(P173="",IFERROR(INDEX(Staff!$E$4:$E$33,MATCH(P173,Staff!$D$4:$D$33,0)),"")=""),"",HYPERLINK("mailto:"&amp;IFERROR(INDEX(Staff!$E$4:$E$33,MATCH(P173,Staff!$D$4:$D$33,0)),"")&amp;"?subject="&amp;SUBSTITUTE(SUBSTITUTE(SUBSTITUTE(SUBSTITUTE(SUBSTITUTE("Parts quote "&amp;A173&amp;" allocated to you - "&amp;D173,"%","%25"),"&amp;","%26")," ","%20"),"#","%23"),CHAR(10),"%0A")&amp;"&amp;body="&amp;SUBSTITUTE(SUBSTITUTE(SUBSTITUTE(SUBSTITUTE(SUBSTITUTE("Ref: "&amp;A173&amp;CHAR(10)&amp;"Customer: "&amp;D173&amp;"  "&amp;E173&amp;CHAR(10)&amp;"Phone: "&amp;F173&amp;CHAR(10)&amp;"Email: "&amp;G173&amp;CHAR(10)&amp;"Prefers: "&amp;H173&amp;CHAR(10)&amp;"Enquiry: "&amp;LEFT(I173,600)&amp;CHAR(10)&amp;CHAR(10)&amp;"Sent from the Preston Mazda enquiry log.","%","%25"),"&amp;","%26")," ","%20"),"#","%23"),CHAR(10),"%0A"),"✉ Email "&amp;P173))</f>
        <v/>
      </c>
    </row>
    <row r="174" customFormat="false" ht="15" hidden="false" customHeight="false" outlineLevel="0" collapsed="false">
      <c r="A174" s="10" t="str">
        <f aca="false">IF(D174="","","E-"&amp;TEXT(ROW()-3,"0000"))</f>
        <v/>
      </c>
      <c r="B174" s="11"/>
      <c r="C174" s="12"/>
      <c r="D174" s="13"/>
      <c r="E174" s="14"/>
      <c r="F174" s="12"/>
      <c r="G174" s="12"/>
      <c r="H174" s="15"/>
      <c r="I174" s="16"/>
      <c r="J174" s="17" t="str">
        <f aca="false">IF(D174="","",HYPERLINK(Settings!$B$7&amp;A174&amp;".pdf","Open "&amp;A174&amp;".pdf"))</f>
        <v/>
      </c>
      <c r="K174" s="16"/>
      <c r="L174" s="12"/>
      <c r="M174" s="12"/>
      <c r="N174" s="15"/>
      <c r="O174" s="15"/>
      <c r="P174" s="12"/>
      <c r="Q174" s="15"/>
      <c r="R174" s="15"/>
      <c r="S174" s="15" t="str">
        <f aca="false">IF(D174="","",IF(AND(O174="Yes",OR(Q174&lt;&gt;"Yes",R174="Yes")),"Complete","Open"))</f>
        <v/>
      </c>
      <c r="T174" s="18" t="str">
        <f aca="false">IF(AND(Q174="Yes",R174&lt;&gt;"Yes"),HYPERLINK("mailto:"&amp;Settings!$B$5&amp;"?subject="&amp;SUBSTITUTE(SUBSTITUTE(SUBSTITUTE(SUBSTITUTE(SUBSTITUTE("Parts quote required - "&amp;D174&amp;" "&amp;E174,"%","%25"),"&amp;","%26")," ","%20"),"#","%23"),CHAR(10),"%0A")&amp;"&amp;body="&amp;SUBSTITUTE(SUBSTITUTE(SUBSTITUTE(SUBSTITUTE(SUBSTITUTE("Ref: "&amp;A174&amp;CHAR(10)&amp;"Customer: "&amp;D174&amp;"  "&amp;E174&amp;CHAR(10)&amp;"Phone: "&amp;F174&amp;CHAR(10)&amp;"Email: "&amp;G174&amp;CHAR(10)&amp;"Prefers: "&amp;H174&amp;CHAR(10)&amp;"Enquiry: "&amp;LEFT(I174,600)&amp;CHAR(10)&amp;CHAR(10)&amp;"Sent from the Preston Mazda enquiry log.","%","%25"),"&amp;","%26")," ","%20"),"#","%23"),CHAR(10),"%0A"),"✉ Email parts"),"")</f>
        <v/>
      </c>
      <c r="U174" s="18" t="str">
        <f aca="false">IF(AND(N174="Yes",O174&lt;&gt;"Yes"),HYPERLINK("mailto:"&amp;Settings!$B$6&amp;"?subject="&amp;SUBSTITUTE(SUBSTITUTE(SUBSTITUTE(SUBSTITUTE(SUBSTITUTE("Customer contact required - "&amp;D174&amp;" "&amp;E174,"%","%25"),"&amp;","%26")," ","%20"),"#","%23"),CHAR(10),"%0A")&amp;"&amp;body="&amp;SUBSTITUTE(SUBSTITUTE(SUBSTITUTE(SUBSTITUTE(SUBSTITUTE("Ref: "&amp;A174&amp;CHAR(10)&amp;"Customer: "&amp;D174&amp;"  "&amp;E174&amp;CHAR(10)&amp;"Phone: "&amp;F174&amp;CHAR(10)&amp;"Email: "&amp;G174&amp;CHAR(10)&amp;"Prefers: "&amp;H174&amp;CHAR(10)&amp;"Enquiry: "&amp;LEFT(I174,600)&amp;CHAR(10)&amp;CHAR(10)&amp;"Sent from the Preston Mazda enquiry log.","%","%25"),"&amp;","%26")," ","%20"),"#","%23"),CHAR(10),"%0A"),"✉ Email advisors"),"")</f>
        <v/>
      </c>
      <c r="V174" s="18" t="str">
        <f aca="false">IF(OR(M174="",IFERROR(INDEX(Staff!$B$4:$B$33,MATCH(M174,Staff!$A$4:$A$33,0)),"")=""),"",HYPERLINK("mailto:"&amp;IFERROR(INDEX(Staff!$B$4:$B$33,MATCH(M174,Staff!$A$4:$A$33,0)),"")&amp;"?subject="&amp;SUBSTITUTE(SUBSTITUTE(SUBSTITUTE(SUBSTITUTE(SUBSTITUTE("Enquiry "&amp;A174&amp;" allocated to you - "&amp;D174,"%","%25"),"&amp;","%26")," ","%20"),"#","%23"),CHAR(10),"%0A")&amp;"&amp;body="&amp;SUBSTITUTE(SUBSTITUTE(SUBSTITUTE(SUBSTITUTE(SUBSTITUTE("Ref: "&amp;A174&amp;CHAR(10)&amp;"Customer: "&amp;D174&amp;"  "&amp;E174&amp;CHAR(10)&amp;"Phone: "&amp;F174&amp;CHAR(10)&amp;"Email: "&amp;G174&amp;CHAR(10)&amp;"Prefers: "&amp;H174&amp;CHAR(10)&amp;"Enquiry: "&amp;LEFT(I174,600)&amp;CHAR(10)&amp;CHAR(10)&amp;"Sent from the Preston Mazda enquiry log.","%","%25"),"&amp;","%26")," ","%20"),"#","%23"),CHAR(10),"%0A"),"✉ Email "&amp;M174))</f>
        <v/>
      </c>
      <c r="W174" s="18" t="str">
        <f aca="false">IF(OR(P174="",IFERROR(INDEX(Staff!$E$4:$E$33,MATCH(P174,Staff!$D$4:$D$33,0)),"")=""),"",HYPERLINK("mailto:"&amp;IFERROR(INDEX(Staff!$E$4:$E$33,MATCH(P174,Staff!$D$4:$D$33,0)),"")&amp;"?subject="&amp;SUBSTITUTE(SUBSTITUTE(SUBSTITUTE(SUBSTITUTE(SUBSTITUTE("Parts quote "&amp;A174&amp;" allocated to you - "&amp;D174,"%","%25"),"&amp;","%26")," ","%20"),"#","%23"),CHAR(10),"%0A")&amp;"&amp;body="&amp;SUBSTITUTE(SUBSTITUTE(SUBSTITUTE(SUBSTITUTE(SUBSTITUTE("Ref: "&amp;A174&amp;CHAR(10)&amp;"Customer: "&amp;D174&amp;"  "&amp;E174&amp;CHAR(10)&amp;"Phone: "&amp;F174&amp;CHAR(10)&amp;"Email: "&amp;G174&amp;CHAR(10)&amp;"Prefers: "&amp;H174&amp;CHAR(10)&amp;"Enquiry: "&amp;LEFT(I174,600)&amp;CHAR(10)&amp;CHAR(10)&amp;"Sent from the Preston Mazda enquiry log.","%","%25"),"&amp;","%26")," ","%20"),"#","%23"),CHAR(10),"%0A"),"✉ Email "&amp;P174))</f>
        <v/>
      </c>
    </row>
    <row r="175" customFormat="false" ht="15" hidden="false" customHeight="false" outlineLevel="0" collapsed="false">
      <c r="A175" s="10" t="str">
        <f aca="false">IF(D175="","","E-"&amp;TEXT(ROW()-3,"0000"))</f>
        <v/>
      </c>
      <c r="B175" s="11"/>
      <c r="C175" s="12"/>
      <c r="D175" s="13"/>
      <c r="E175" s="14"/>
      <c r="F175" s="12"/>
      <c r="G175" s="12"/>
      <c r="H175" s="15"/>
      <c r="I175" s="16"/>
      <c r="J175" s="17" t="str">
        <f aca="false">IF(D175="","",HYPERLINK(Settings!$B$7&amp;A175&amp;".pdf","Open "&amp;A175&amp;".pdf"))</f>
        <v/>
      </c>
      <c r="K175" s="16"/>
      <c r="L175" s="12"/>
      <c r="M175" s="12"/>
      <c r="N175" s="15"/>
      <c r="O175" s="15"/>
      <c r="P175" s="12"/>
      <c r="Q175" s="15"/>
      <c r="R175" s="15"/>
      <c r="S175" s="15" t="str">
        <f aca="false">IF(D175="","",IF(AND(O175="Yes",OR(Q175&lt;&gt;"Yes",R175="Yes")),"Complete","Open"))</f>
        <v/>
      </c>
      <c r="T175" s="18" t="str">
        <f aca="false">IF(AND(Q175="Yes",R175&lt;&gt;"Yes"),HYPERLINK("mailto:"&amp;Settings!$B$5&amp;"?subject="&amp;SUBSTITUTE(SUBSTITUTE(SUBSTITUTE(SUBSTITUTE(SUBSTITUTE("Parts quote required - "&amp;D175&amp;" "&amp;E175,"%","%25"),"&amp;","%26")," ","%20"),"#","%23"),CHAR(10),"%0A")&amp;"&amp;body="&amp;SUBSTITUTE(SUBSTITUTE(SUBSTITUTE(SUBSTITUTE(SUBSTITUTE("Ref: "&amp;A175&amp;CHAR(10)&amp;"Customer: "&amp;D175&amp;"  "&amp;E175&amp;CHAR(10)&amp;"Phone: "&amp;F175&amp;CHAR(10)&amp;"Email: "&amp;G175&amp;CHAR(10)&amp;"Prefers: "&amp;H175&amp;CHAR(10)&amp;"Enquiry: "&amp;LEFT(I175,600)&amp;CHAR(10)&amp;CHAR(10)&amp;"Sent from the Preston Mazda enquiry log.","%","%25"),"&amp;","%26")," ","%20"),"#","%23"),CHAR(10),"%0A"),"✉ Email parts"),"")</f>
        <v/>
      </c>
      <c r="U175" s="18" t="str">
        <f aca="false">IF(AND(N175="Yes",O175&lt;&gt;"Yes"),HYPERLINK("mailto:"&amp;Settings!$B$6&amp;"?subject="&amp;SUBSTITUTE(SUBSTITUTE(SUBSTITUTE(SUBSTITUTE(SUBSTITUTE("Customer contact required - "&amp;D175&amp;" "&amp;E175,"%","%25"),"&amp;","%26")," ","%20"),"#","%23"),CHAR(10),"%0A")&amp;"&amp;body="&amp;SUBSTITUTE(SUBSTITUTE(SUBSTITUTE(SUBSTITUTE(SUBSTITUTE("Ref: "&amp;A175&amp;CHAR(10)&amp;"Customer: "&amp;D175&amp;"  "&amp;E175&amp;CHAR(10)&amp;"Phone: "&amp;F175&amp;CHAR(10)&amp;"Email: "&amp;G175&amp;CHAR(10)&amp;"Prefers: "&amp;H175&amp;CHAR(10)&amp;"Enquiry: "&amp;LEFT(I175,600)&amp;CHAR(10)&amp;CHAR(10)&amp;"Sent from the Preston Mazda enquiry log.","%","%25"),"&amp;","%26")," ","%20"),"#","%23"),CHAR(10),"%0A"),"✉ Email advisors"),"")</f>
        <v/>
      </c>
      <c r="V175" s="18" t="str">
        <f aca="false">IF(OR(M175="",IFERROR(INDEX(Staff!$B$4:$B$33,MATCH(M175,Staff!$A$4:$A$33,0)),"")=""),"",HYPERLINK("mailto:"&amp;IFERROR(INDEX(Staff!$B$4:$B$33,MATCH(M175,Staff!$A$4:$A$33,0)),"")&amp;"?subject="&amp;SUBSTITUTE(SUBSTITUTE(SUBSTITUTE(SUBSTITUTE(SUBSTITUTE("Enquiry "&amp;A175&amp;" allocated to you - "&amp;D175,"%","%25"),"&amp;","%26")," ","%20"),"#","%23"),CHAR(10),"%0A")&amp;"&amp;body="&amp;SUBSTITUTE(SUBSTITUTE(SUBSTITUTE(SUBSTITUTE(SUBSTITUTE("Ref: "&amp;A175&amp;CHAR(10)&amp;"Customer: "&amp;D175&amp;"  "&amp;E175&amp;CHAR(10)&amp;"Phone: "&amp;F175&amp;CHAR(10)&amp;"Email: "&amp;G175&amp;CHAR(10)&amp;"Prefers: "&amp;H175&amp;CHAR(10)&amp;"Enquiry: "&amp;LEFT(I175,600)&amp;CHAR(10)&amp;CHAR(10)&amp;"Sent from the Preston Mazda enquiry log.","%","%25"),"&amp;","%26")," ","%20"),"#","%23"),CHAR(10),"%0A"),"✉ Email "&amp;M175))</f>
        <v/>
      </c>
      <c r="W175" s="18" t="str">
        <f aca="false">IF(OR(P175="",IFERROR(INDEX(Staff!$E$4:$E$33,MATCH(P175,Staff!$D$4:$D$33,0)),"")=""),"",HYPERLINK("mailto:"&amp;IFERROR(INDEX(Staff!$E$4:$E$33,MATCH(P175,Staff!$D$4:$D$33,0)),"")&amp;"?subject="&amp;SUBSTITUTE(SUBSTITUTE(SUBSTITUTE(SUBSTITUTE(SUBSTITUTE("Parts quote "&amp;A175&amp;" allocated to you - "&amp;D175,"%","%25"),"&amp;","%26")," ","%20"),"#","%23"),CHAR(10),"%0A")&amp;"&amp;body="&amp;SUBSTITUTE(SUBSTITUTE(SUBSTITUTE(SUBSTITUTE(SUBSTITUTE("Ref: "&amp;A175&amp;CHAR(10)&amp;"Customer: "&amp;D175&amp;"  "&amp;E175&amp;CHAR(10)&amp;"Phone: "&amp;F175&amp;CHAR(10)&amp;"Email: "&amp;G175&amp;CHAR(10)&amp;"Prefers: "&amp;H175&amp;CHAR(10)&amp;"Enquiry: "&amp;LEFT(I175,600)&amp;CHAR(10)&amp;CHAR(10)&amp;"Sent from the Preston Mazda enquiry log.","%","%25"),"&amp;","%26")," ","%20"),"#","%23"),CHAR(10),"%0A"),"✉ Email "&amp;P175))</f>
        <v/>
      </c>
    </row>
    <row r="176" customFormat="false" ht="15" hidden="false" customHeight="false" outlineLevel="0" collapsed="false">
      <c r="A176" s="10" t="str">
        <f aca="false">IF(D176="","","E-"&amp;TEXT(ROW()-3,"0000"))</f>
        <v/>
      </c>
      <c r="B176" s="11"/>
      <c r="C176" s="12"/>
      <c r="D176" s="13"/>
      <c r="E176" s="14"/>
      <c r="F176" s="12"/>
      <c r="G176" s="12"/>
      <c r="H176" s="15"/>
      <c r="I176" s="16"/>
      <c r="J176" s="17" t="str">
        <f aca="false">IF(D176="","",HYPERLINK(Settings!$B$7&amp;A176&amp;".pdf","Open "&amp;A176&amp;".pdf"))</f>
        <v/>
      </c>
      <c r="K176" s="16"/>
      <c r="L176" s="12"/>
      <c r="M176" s="12"/>
      <c r="N176" s="15"/>
      <c r="O176" s="15"/>
      <c r="P176" s="12"/>
      <c r="Q176" s="15"/>
      <c r="R176" s="15"/>
      <c r="S176" s="15" t="str">
        <f aca="false">IF(D176="","",IF(AND(O176="Yes",OR(Q176&lt;&gt;"Yes",R176="Yes")),"Complete","Open"))</f>
        <v/>
      </c>
      <c r="T176" s="18" t="str">
        <f aca="false">IF(AND(Q176="Yes",R176&lt;&gt;"Yes"),HYPERLINK("mailto:"&amp;Settings!$B$5&amp;"?subject="&amp;SUBSTITUTE(SUBSTITUTE(SUBSTITUTE(SUBSTITUTE(SUBSTITUTE("Parts quote required - "&amp;D176&amp;" "&amp;E176,"%","%25"),"&amp;","%26")," ","%20"),"#","%23"),CHAR(10),"%0A")&amp;"&amp;body="&amp;SUBSTITUTE(SUBSTITUTE(SUBSTITUTE(SUBSTITUTE(SUBSTITUTE("Ref: "&amp;A176&amp;CHAR(10)&amp;"Customer: "&amp;D176&amp;"  "&amp;E176&amp;CHAR(10)&amp;"Phone: "&amp;F176&amp;CHAR(10)&amp;"Email: "&amp;G176&amp;CHAR(10)&amp;"Prefers: "&amp;H176&amp;CHAR(10)&amp;"Enquiry: "&amp;LEFT(I176,600)&amp;CHAR(10)&amp;CHAR(10)&amp;"Sent from the Preston Mazda enquiry log.","%","%25"),"&amp;","%26")," ","%20"),"#","%23"),CHAR(10),"%0A"),"✉ Email parts"),"")</f>
        <v/>
      </c>
      <c r="U176" s="18" t="str">
        <f aca="false">IF(AND(N176="Yes",O176&lt;&gt;"Yes"),HYPERLINK("mailto:"&amp;Settings!$B$6&amp;"?subject="&amp;SUBSTITUTE(SUBSTITUTE(SUBSTITUTE(SUBSTITUTE(SUBSTITUTE("Customer contact required - "&amp;D176&amp;" "&amp;E176,"%","%25"),"&amp;","%26")," ","%20"),"#","%23"),CHAR(10),"%0A")&amp;"&amp;body="&amp;SUBSTITUTE(SUBSTITUTE(SUBSTITUTE(SUBSTITUTE(SUBSTITUTE("Ref: "&amp;A176&amp;CHAR(10)&amp;"Customer: "&amp;D176&amp;"  "&amp;E176&amp;CHAR(10)&amp;"Phone: "&amp;F176&amp;CHAR(10)&amp;"Email: "&amp;G176&amp;CHAR(10)&amp;"Prefers: "&amp;H176&amp;CHAR(10)&amp;"Enquiry: "&amp;LEFT(I176,600)&amp;CHAR(10)&amp;CHAR(10)&amp;"Sent from the Preston Mazda enquiry log.","%","%25"),"&amp;","%26")," ","%20"),"#","%23"),CHAR(10),"%0A"),"✉ Email advisors"),"")</f>
        <v/>
      </c>
      <c r="V176" s="18" t="str">
        <f aca="false">IF(OR(M176="",IFERROR(INDEX(Staff!$B$4:$B$33,MATCH(M176,Staff!$A$4:$A$33,0)),"")=""),"",HYPERLINK("mailto:"&amp;IFERROR(INDEX(Staff!$B$4:$B$33,MATCH(M176,Staff!$A$4:$A$33,0)),"")&amp;"?subject="&amp;SUBSTITUTE(SUBSTITUTE(SUBSTITUTE(SUBSTITUTE(SUBSTITUTE("Enquiry "&amp;A176&amp;" allocated to you - "&amp;D176,"%","%25"),"&amp;","%26")," ","%20"),"#","%23"),CHAR(10),"%0A")&amp;"&amp;body="&amp;SUBSTITUTE(SUBSTITUTE(SUBSTITUTE(SUBSTITUTE(SUBSTITUTE("Ref: "&amp;A176&amp;CHAR(10)&amp;"Customer: "&amp;D176&amp;"  "&amp;E176&amp;CHAR(10)&amp;"Phone: "&amp;F176&amp;CHAR(10)&amp;"Email: "&amp;G176&amp;CHAR(10)&amp;"Prefers: "&amp;H176&amp;CHAR(10)&amp;"Enquiry: "&amp;LEFT(I176,600)&amp;CHAR(10)&amp;CHAR(10)&amp;"Sent from the Preston Mazda enquiry log.","%","%25"),"&amp;","%26")," ","%20"),"#","%23"),CHAR(10),"%0A"),"✉ Email "&amp;M176))</f>
        <v/>
      </c>
      <c r="W176" s="18" t="str">
        <f aca="false">IF(OR(P176="",IFERROR(INDEX(Staff!$E$4:$E$33,MATCH(P176,Staff!$D$4:$D$33,0)),"")=""),"",HYPERLINK("mailto:"&amp;IFERROR(INDEX(Staff!$E$4:$E$33,MATCH(P176,Staff!$D$4:$D$33,0)),"")&amp;"?subject="&amp;SUBSTITUTE(SUBSTITUTE(SUBSTITUTE(SUBSTITUTE(SUBSTITUTE("Parts quote "&amp;A176&amp;" allocated to you - "&amp;D176,"%","%25"),"&amp;","%26")," ","%20"),"#","%23"),CHAR(10),"%0A")&amp;"&amp;body="&amp;SUBSTITUTE(SUBSTITUTE(SUBSTITUTE(SUBSTITUTE(SUBSTITUTE("Ref: "&amp;A176&amp;CHAR(10)&amp;"Customer: "&amp;D176&amp;"  "&amp;E176&amp;CHAR(10)&amp;"Phone: "&amp;F176&amp;CHAR(10)&amp;"Email: "&amp;G176&amp;CHAR(10)&amp;"Prefers: "&amp;H176&amp;CHAR(10)&amp;"Enquiry: "&amp;LEFT(I176,600)&amp;CHAR(10)&amp;CHAR(10)&amp;"Sent from the Preston Mazda enquiry log.","%","%25"),"&amp;","%26")," ","%20"),"#","%23"),CHAR(10),"%0A"),"✉ Email "&amp;P176))</f>
        <v/>
      </c>
    </row>
    <row r="177" customFormat="false" ht="15" hidden="false" customHeight="false" outlineLevel="0" collapsed="false">
      <c r="A177" s="10" t="str">
        <f aca="false">IF(D177="","","E-"&amp;TEXT(ROW()-3,"0000"))</f>
        <v/>
      </c>
      <c r="B177" s="11"/>
      <c r="C177" s="12"/>
      <c r="D177" s="13"/>
      <c r="E177" s="14"/>
      <c r="F177" s="12"/>
      <c r="G177" s="12"/>
      <c r="H177" s="15"/>
      <c r="I177" s="16"/>
      <c r="J177" s="17" t="str">
        <f aca="false">IF(D177="","",HYPERLINK(Settings!$B$7&amp;A177&amp;".pdf","Open "&amp;A177&amp;".pdf"))</f>
        <v/>
      </c>
      <c r="K177" s="16"/>
      <c r="L177" s="12"/>
      <c r="M177" s="12"/>
      <c r="N177" s="15"/>
      <c r="O177" s="15"/>
      <c r="P177" s="12"/>
      <c r="Q177" s="15"/>
      <c r="R177" s="15"/>
      <c r="S177" s="15" t="str">
        <f aca="false">IF(D177="","",IF(AND(O177="Yes",OR(Q177&lt;&gt;"Yes",R177="Yes")),"Complete","Open"))</f>
        <v/>
      </c>
      <c r="T177" s="18" t="str">
        <f aca="false">IF(AND(Q177="Yes",R177&lt;&gt;"Yes"),HYPERLINK("mailto:"&amp;Settings!$B$5&amp;"?subject="&amp;SUBSTITUTE(SUBSTITUTE(SUBSTITUTE(SUBSTITUTE(SUBSTITUTE("Parts quote required - "&amp;D177&amp;" "&amp;E177,"%","%25"),"&amp;","%26")," ","%20"),"#","%23"),CHAR(10),"%0A")&amp;"&amp;body="&amp;SUBSTITUTE(SUBSTITUTE(SUBSTITUTE(SUBSTITUTE(SUBSTITUTE("Ref: "&amp;A177&amp;CHAR(10)&amp;"Customer: "&amp;D177&amp;"  "&amp;E177&amp;CHAR(10)&amp;"Phone: "&amp;F177&amp;CHAR(10)&amp;"Email: "&amp;G177&amp;CHAR(10)&amp;"Prefers: "&amp;H177&amp;CHAR(10)&amp;"Enquiry: "&amp;LEFT(I177,600)&amp;CHAR(10)&amp;CHAR(10)&amp;"Sent from the Preston Mazda enquiry log.","%","%25"),"&amp;","%26")," ","%20"),"#","%23"),CHAR(10),"%0A"),"✉ Email parts"),"")</f>
        <v/>
      </c>
      <c r="U177" s="18" t="str">
        <f aca="false">IF(AND(N177="Yes",O177&lt;&gt;"Yes"),HYPERLINK("mailto:"&amp;Settings!$B$6&amp;"?subject="&amp;SUBSTITUTE(SUBSTITUTE(SUBSTITUTE(SUBSTITUTE(SUBSTITUTE("Customer contact required - "&amp;D177&amp;" "&amp;E177,"%","%25"),"&amp;","%26")," ","%20"),"#","%23"),CHAR(10),"%0A")&amp;"&amp;body="&amp;SUBSTITUTE(SUBSTITUTE(SUBSTITUTE(SUBSTITUTE(SUBSTITUTE("Ref: "&amp;A177&amp;CHAR(10)&amp;"Customer: "&amp;D177&amp;"  "&amp;E177&amp;CHAR(10)&amp;"Phone: "&amp;F177&amp;CHAR(10)&amp;"Email: "&amp;G177&amp;CHAR(10)&amp;"Prefers: "&amp;H177&amp;CHAR(10)&amp;"Enquiry: "&amp;LEFT(I177,600)&amp;CHAR(10)&amp;CHAR(10)&amp;"Sent from the Preston Mazda enquiry log.","%","%25"),"&amp;","%26")," ","%20"),"#","%23"),CHAR(10),"%0A"),"✉ Email advisors"),"")</f>
        <v/>
      </c>
      <c r="V177" s="18" t="str">
        <f aca="false">IF(OR(M177="",IFERROR(INDEX(Staff!$B$4:$B$33,MATCH(M177,Staff!$A$4:$A$33,0)),"")=""),"",HYPERLINK("mailto:"&amp;IFERROR(INDEX(Staff!$B$4:$B$33,MATCH(M177,Staff!$A$4:$A$33,0)),"")&amp;"?subject="&amp;SUBSTITUTE(SUBSTITUTE(SUBSTITUTE(SUBSTITUTE(SUBSTITUTE("Enquiry "&amp;A177&amp;" allocated to you - "&amp;D177,"%","%25"),"&amp;","%26")," ","%20"),"#","%23"),CHAR(10),"%0A")&amp;"&amp;body="&amp;SUBSTITUTE(SUBSTITUTE(SUBSTITUTE(SUBSTITUTE(SUBSTITUTE("Ref: "&amp;A177&amp;CHAR(10)&amp;"Customer: "&amp;D177&amp;"  "&amp;E177&amp;CHAR(10)&amp;"Phone: "&amp;F177&amp;CHAR(10)&amp;"Email: "&amp;G177&amp;CHAR(10)&amp;"Prefers: "&amp;H177&amp;CHAR(10)&amp;"Enquiry: "&amp;LEFT(I177,600)&amp;CHAR(10)&amp;CHAR(10)&amp;"Sent from the Preston Mazda enquiry log.","%","%25"),"&amp;","%26")," ","%20"),"#","%23"),CHAR(10),"%0A"),"✉ Email "&amp;M177))</f>
        <v/>
      </c>
      <c r="W177" s="18" t="str">
        <f aca="false">IF(OR(P177="",IFERROR(INDEX(Staff!$E$4:$E$33,MATCH(P177,Staff!$D$4:$D$33,0)),"")=""),"",HYPERLINK("mailto:"&amp;IFERROR(INDEX(Staff!$E$4:$E$33,MATCH(P177,Staff!$D$4:$D$33,0)),"")&amp;"?subject="&amp;SUBSTITUTE(SUBSTITUTE(SUBSTITUTE(SUBSTITUTE(SUBSTITUTE("Parts quote "&amp;A177&amp;" allocated to you - "&amp;D177,"%","%25"),"&amp;","%26")," ","%20"),"#","%23"),CHAR(10),"%0A")&amp;"&amp;body="&amp;SUBSTITUTE(SUBSTITUTE(SUBSTITUTE(SUBSTITUTE(SUBSTITUTE("Ref: "&amp;A177&amp;CHAR(10)&amp;"Customer: "&amp;D177&amp;"  "&amp;E177&amp;CHAR(10)&amp;"Phone: "&amp;F177&amp;CHAR(10)&amp;"Email: "&amp;G177&amp;CHAR(10)&amp;"Prefers: "&amp;H177&amp;CHAR(10)&amp;"Enquiry: "&amp;LEFT(I177,600)&amp;CHAR(10)&amp;CHAR(10)&amp;"Sent from the Preston Mazda enquiry log.","%","%25"),"&amp;","%26")," ","%20"),"#","%23"),CHAR(10),"%0A"),"✉ Email "&amp;P177))</f>
        <v/>
      </c>
    </row>
    <row r="178" customFormat="false" ht="15" hidden="false" customHeight="false" outlineLevel="0" collapsed="false">
      <c r="A178" s="10" t="str">
        <f aca="false">IF(D178="","","E-"&amp;TEXT(ROW()-3,"0000"))</f>
        <v/>
      </c>
      <c r="B178" s="11"/>
      <c r="C178" s="12"/>
      <c r="D178" s="13"/>
      <c r="E178" s="14"/>
      <c r="F178" s="12"/>
      <c r="G178" s="12"/>
      <c r="H178" s="15"/>
      <c r="I178" s="16"/>
      <c r="J178" s="17" t="str">
        <f aca="false">IF(D178="","",HYPERLINK(Settings!$B$7&amp;A178&amp;".pdf","Open "&amp;A178&amp;".pdf"))</f>
        <v/>
      </c>
      <c r="K178" s="16"/>
      <c r="L178" s="12"/>
      <c r="M178" s="12"/>
      <c r="N178" s="15"/>
      <c r="O178" s="15"/>
      <c r="P178" s="12"/>
      <c r="Q178" s="15"/>
      <c r="R178" s="15"/>
      <c r="S178" s="15" t="str">
        <f aca="false">IF(D178="","",IF(AND(O178="Yes",OR(Q178&lt;&gt;"Yes",R178="Yes")),"Complete","Open"))</f>
        <v/>
      </c>
      <c r="T178" s="18" t="str">
        <f aca="false">IF(AND(Q178="Yes",R178&lt;&gt;"Yes"),HYPERLINK("mailto:"&amp;Settings!$B$5&amp;"?subject="&amp;SUBSTITUTE(SUBSTITUTE(SUBSTITUTE(SUBSTITUTE(SUBSTITUTE("Parts quote required - "&amp;D178&amp;" "&amp;E178,"%","%25"),"&amp;","%26")," ","%20"),"#","%23"),CHAR(10),"%0A")&amp;"&amp;body="&amp;SUBSTITUTE(SUBSTITUTE(SUBSTITUTE(SUBSTITUTE(SUBSTITUTE("Ref: "&amp;A178&amp;CHAR(10)&amp;"Customer: "&amp;D178&amp;"  "&amp;E178&amp;CHAR(10)&amp;"Phone: "&amp;F178&amp;CHAR(10)&amp;"Email: "&amp;G178&amp;CHAR(10)&amp;"Prefers: "&amp;H178&amp;CHAR(10)&amp;"Enquiry: "&amp;LEFT(I178,600)&amp;CHAR(10)&amp;CHAR(10)&amp;"Sent from the Preston Mazda enquiry log.","%","%25"),"&amp;","%26")," ","%20"),"#","%23"),CHAR(10),"%0A"),"✉ Email parts"),"")</f>
        <v/>
      </c>
      <c r="U178" s="18" t="str">
        <f aca="false">IF(AND(N178="Yes",O178&lt;&gt;"Yes"),HYPERLINK("mailto:"&amp;Settings!$B$6&amp;"?subject="&amp;SUBSTITUTE(SUBSTITUTE(SUBSTITUTE(SUBSTITUTE(SUBSTITUTE("Customer contact required - "&amp;D178&amp;" "&amp;E178,"%","%25"),"&amp;","%26")," ","%20"),"#","%23"),CHAR(10),"%0A")&amp;"&amp;body="&amp;SUBSTITUTE(SUBSTITUTE(SUBSTITUTE(SUBSTITUTE(SUBSTITUTE("Ref: "&amp;A178&amp;CHAR(10)&amp;"Customer: "&amp;D178&amp;"  "&amp;E178&amp;CHAR(10)&amp;"Phone: "&amp;F178&amp;CHAR(10)&amp;"Email: "&amp;G178&amp;CHAR(10)&amp;"Prefers: "&amp;H178&amp;CHAR(10)&amp;"Enquiry: "&amp;LEFT(I178,600)&amp;CHAR(10)&amp;CHAR(10)&amp;"Sent from the Preston Mazda enquiry log.","%","%25"),"&amp;","%26")," ","%20"),"#","%23"),CHAR(10),"%0A"),"✉ Email advisors"),"")</f>
        <v/>
      </c>
      <c r="V178" s="18" t="str">
        <f aca="false">IF(OR(M178="",IFERROR(INDEX(Staff!$B$4:$B$33,MATCH(M178,Staff!$A$4:$A$33,0)),"")=""),"",HYPERLINK("mailto:"&amp;IFERROR(INDEX(Staff!$B$4:$B$33,MATCH(M178,Staff!$A$4:$A$33,0)),"")&amp;"?subject="&amp;SUBSTITUTE(SUBSTITUTE(SUBSTITUTE(SUBSTITUTE(SUBSTITUTE("Enquiry "&amp;A178&amp;" allocated to you - "&amp;D178,"%","%25"),"&amp;","%26")," ","%20"),"#","%23"),CHAR(10),"%0A")&amp;"&amp;body="&amp;SUBSTITUTE(SUBSTITUTE(SUBSTITUTE(SUBSTITUTE(SUBSTITUTE("Ref: "&amp;A178&amp;CHAR(10)&amp;"Customer: "&amp;D178&amp;"  "&amp;E178&amp;CHAR(10)&amp;"Phone: "&amp;F178&amp;CHAR(10)&amp;"Email: "&amp;G178&amp;CHAR(10)&amp;"Prefers: "&amp;H178&amp;CHAR(10)&amp;"Enquiry: "&amp;LEFT(I178,600)&amp;CHAR(10)&amp;CHAR(10)&amp;"Sent from the Preston Mazda enquiry log.","%","%25"),"&amp;","%26")," ","%20"),"#","%23"),CHAR(10),"%0A"),"✉ Email "&amp;M178))</f>
        <v/>
      </c>
      <c r="W178" s="18" t="str">
        <f aca="false">IF(OR(P178="",IFERROR(INDEX(Staff!$E$4:$E$33,MATCH(P178,Staff!$D$4:$D$33,0)),"")=""),"",HYPERLINK("mailto:"&amp;IFERROR(INDEX(Staff!$E$4:$E$33,MATCH(P178,Staff!$D$4:$D$33,0)),"")&amp;"?subject="&amp;SUBSTITUTE(SUBSTITUTE(SUBSTITUTE(SUBSTITUTE(SUBSTITUTE("Parts quote "&amp;A178&amp;" allocated to you - "&amp;D178,"%","%25"),"&amp;","%26")," ","%20"),"#","%23"),CHAR(10),"%0A")&amp;"&amp;body="&amp;SUBSTITUTE(SUBSTITUTE(SUBSTITUTE(SUBSTITUTE(SUBSTITUTE("Ref: "&amp;A178&amp;CHAR(10)&amp;"Customer: "&amp;D178&amp;"  "&amp;E178&amp;CHAR(10)&amp;"Phone: "&amp;F178&amp;CHAR(10)&amp;"Email: "&amp;G178&amp;CHAR(10)&amp;"Prefers: "&amp;H178&amp;CHAR(10)&amp;"Enquiry: "&amp;LEFT(I178,600)&amp;CHAR(10)&amp;CHAR(10)&amp;"Sent from the Preston Mazda enquiry log.","%","%25"),"&amp;","%26")," ","%20"),"#","%23"),CHAR(10),"%0A"),"✉ Email "&amp;P178))</f>
        <v/>
      </c>
    </row>
    <row r="179" customFormat="false" ht="15" hidden="false" customHeight="false" outlineLevel="0" collapsed="false">
      <c r="A179" s="10" t="str">
        <f aca="false">IF(D179="","","E-"&amp;TEXT(ROW()-3,"0000"))</f>
        <v/>
      </c>
      <c r="B179" s="11"/>
      <c r="C179" s="12"/>
      <c r="D179" s="13"/>
      <c r="E179" s="14"/>
      <c r="F179" s="12"/>
      <c r="G179" s="12"/>
      <c r="H179" s="15"/>
      <c r="I179" s="16"/>
      <c r="J179" s="17" t="str">
        <f aca="false">IF(D179="","",HYPERLINK(Settings!$B$7&amp;A179&amp;".pdf","Open "&amp;A179&amp;".pdf"))</f>
        <v/>
      </c>
      <c r="K179" s="16"/>
      <c r="L179" s="12"/>
      <c r="M179" s="12"/>
      <c r="N179" s="15"/>
      <c r="O179" s="15"/>
      <c r="P179" s="12"/>
      <c r="Q179" s="15"/>
      <c r="R179" s="15"/>
      <c r="S179" s="15" t="str">
        <f aca="false">IF(D179="","",IF(AND(O179="Yes",OR(Q179&lt;&gt;"Yes",R179="Yes")),"Complete","Open"))</f>
        <v/>
      </c>
      <c r="T179" s="18" t="str">
        <f aca="false">IF(AND(Q179="Yes",R179&lt;&gt;"Yes"),HYPERLINK("mailto:"&amp;Settings!$B$5&amp;"?subject="&amp;SUBSTITUTE(SUBSTITUTE(SUBSTITUTE(SUBSTITUTE(SUBSTITUTE("Parts quote required - "&amp;D179&amp;" "&amp;E179,"%","%25"),"&amp;","%26")," ","%20"),"#","%23"),CHAR(10),"%0A")&amp;"&amp;body="&amp;SUBSTITUTE(SUBSTITUTE(SUBSTITUTE(SUBSTITUTE(SUBSTITUTE("Ref: "&amp;A179&amp;CHAR(10)&amp;"Customer: "&amp;D179&amp;"  "&amp;E179&amp;CHAR(10)&amp;"Phone: "&amp;F179&amp;CHAR(10)&amp;"Email: "&amp;G179&amp;CHAR(10)&amp;"Prefers: "&amp;H179&amp;CHAR(10)&amp;"Enquiry: "&amp;LEFT(I179,600)&amp;CHAR(10)&amp;CHAR(10)&amp;"Sent from the Preston Mazda enquiry log.","%","%25"),"&amp;","%26")," ","%20"),"#","%23"),CHAR(10),"%0A"),"✉ Email parts"),"")</f>
        <v/>
      </c>
      <c r="U179" s="18" t="str">
        <f aca="false">IF(AND(N179="Yes",O179&lt;&gt;"Yes"),HYPERLINK("mailto:"&amp;Settings!$B$6&amp;"?subject="&amp;SUBSTITUTE(SUBSTITUTE(SUBSTITUTE(SUBSTITUTE(SUBSTITUTE("Customer contact required - "&amp;D179&amp;" "&amp;E179,"%","%25"),"&amp;","%26")," ","%20"),"#","%23"),CHAR(10),"%0A")&amp;"&amp;body="&amp;SUBSTITUTE(SUBSTITUTE(SUBSTITUTE(SUBSTITUTE(SUBSTITUTE("Ref: "&amp;A179&amp;CHAR(10)&amp;"Customer: "&amp;D179&amp;"  "&amp;E179&amp;CHAR(10)&amp;"Phone: "&amp;F179&amp;CHAR(10)&amp;"Email: "&amp;G179&amp;CHAR(10)&amp;"Prefers: "&amp;H179&amp;CHAR(10)&amp;"Enquiry: "&amp;LEFT(I179,600)&amp;CHAR(10)&amp;CHAR(10)&amp;"Sent from the Preston Mazda enquiry log.","%","%25"),"&amp;","%26")," ","%20"),"#","%23"),CHAR(10),"%0A"),"✉ Email advisors"),"")</f>
        <v/>
      </c>
      <c r="V179" s="18" t="str">
        <f aca="false">IF(OR(M179="",IFERROR(INDEX(Staff!$B$4:$B$33,MATCH(M179,Staff!$A$4:$A$33,0)),"")=""),"",HYPERLINK("mailto:"&amp;IFERROR(INDEX(Staff!$B$4:$B$33,MATCH(M179,Staff!$A$4:$A$33,0)),"")&amp;"?subject="&amp;SUBSTITUTE(SUBSTITUTE(SUBSTITUTE(SUBSTITUTE(SUBSTITUTE("Enquiry "&amp;A179&amp;" allocated to you - "&amp;D179,"%","%25"),"&amp;","%26")," ","%20"),"#","%23"),CHAR(10),"%0A")&amp;"&amp;body="&amp;SUBSTITUTE(SUBSTITUTE(SUBSTITUTE(SUBSTITUTE(SUBSTITUTE("Ref: "&amp;A179&amp;CHAR(10)&amp;"Customer: "&amp;D179&amp;"  "&amp;E179&amp;CHAR(10)&amp;"Phone: "&amp;F179&amp;CHAR(10)&amp;"Email: "&amp;G179&amp;CHAR(10)&amp;"Prefers: "&amp;H179&amp;CHAR(10)&amp;"Enquiry: "&amp;LEFT(I179,600)&amp;CHAR(10)&amp;CHAR(10)&amp;"Sent from the Preston Mazda enquiry log.","%","%25"),"&amp;","%26")," ","%20"),"#","%23"),CHAR(10),"%0A"),"✉ Email "&amp;M179))</f>
        <v/>
      </c>
      <c r="W179" s="18" t="str">
        <f aca="false">IF(OR(P179="",IFERROR(INDEX(Staff!$E$4:$E$33,MATCH(P179,Staff!$D$4:$D$33,0)),"")=""),"",HYPERLINK("mailto:"&amp;IFERROR(INDEX(Staff!$E$4:$E$33,MATCH(P179,Staff!$D$4:$D$33,0)),"")&amp;"?subject="&amp;SUBSTITUTE(SUBSTITUTE(SUBSTITUTE(SUBSTITUTE(SUBSTITUTE("Parts quote "&amp;A179&amp;" allocated to you - "&amp;D179,"%","%25"),"&amp;","%26")," ","%20"),"#","%23"),CHAR(10),"%0A")&amp;"&amp;body="&amp;SUBSTITUTE(SUBSTITUTE(SUBSTITUTE(SUBSTITUTE(SUBSTITUTE("Ref: "&amp;A179&amp;CHAR(10)&amp;"Customer: "&amp;D179&amp;"  "&amp;E179&amp;CHAR(10)&amp;"Phone: "&amp;F179&amp;CHAR(10)&amp;"Email: "&amp;G179&amp;CHAR(10)&amp;"Prefers: "&amp;H179&amp;CHAR(10)&amp;"Enquiry: "&amp;LEFT(I179,600)&amp;CHAR(10)&amp;CHAR(10)&amp;"Sent from the Preston Mazda enquiry log.","%","%25"),"&amp;","%26")," ","%20"),"#","%23"),CHAR(10),"%0A"),"✉ Email "&amp;P179))</f>
        <v/>
      </c>
    </row>
    <row r="180" customFormat="false" ht="15" hidden="false" customHeight="false" outlineLevel="0" collapsed="false">
      <c r="A180" s="10" t="str">
        <f aca="false">IF(D180="","","E-"&amp;TEXT(ROW()-3,"0000"))</f>
        <v/>
      </c>
      <c r="B180" s="11"/>
      <c r="C180" s="12"/>
      <c r="D180" s="13"/>
      <c r="E180" s="14"/>
      <c r="F180" s="12"/>
      <c r="G180" s="12"/>
      <c r="H180" s="15"/>
      <c r="I180" s="16"/>
      <c r="J180" s="17" t="str">
        <f aca="false">IF(D180="","",HYPERLINK(Settings!$B$7&amp;A180&amp;".pdf","Open "&amp;A180&amp;".pdf"))</f>
        <v/>
      </c>
      <c r="K180" s="16"/>
      <c r="L180" s="12"/>
      <c r="M180" s="12"/>
      <c r="N180" s="15"/>
      <c r="O180" s="15"/>
      <c r="P180" s="12"/>
      <c r="Q180" s="15"/>
      <c r="R180" s="15"/>
      <c r="S180" s="15" t="str">
        <f aca="false">IF(D180="","",IF(AND(O180="Yes",OR(Q180&lt;&gt;"Yes",R180="Yes")),"Complete","Open"))</f>
        <v/>
      </c>
      <c r="T180" s="18" t="str">
        <f aca="false">IF(AND(Q180="Yes",R180&lt;&gt;"Yes"),HYPERLINK("mailto:"&amp;Settings!$B$5&amp;"?subject="&amp;SUBSTITUTE(SUBSTITUTE(SUBSTITUTE(SUBSTITUTE(SUBSTITUTE("Parts quote required - "&amp;D180&amp;" "&amp;E180,"%","%25"),"&amp;","%26")," ","%20"),"#","%23"),CHAR(10),"%0A")&amp;"&amp;body="&amp;SUBSTITUTE(SUBSTITUTE(SUBSTITUTE(SUBSTITUTE(SUBSTITUTE("Ref: "&amp;A180&amp;CHAR(10)&amp;"Customer: "&amp;D180&amp;"  "&amp;E180&amp;CHAR(10)&amp;"Phone: "&amp;F180&amp;CHAR(10)&amp;"Email: "&amp;G180&amp;CHAR(10)&amp;"Prefers: "&amp;H180&amp;CHAR(10)&amp;"Enquiry: "&amp;LEFT(I180,600)&amp;CHAR(10)&amp;CHAR(10)&amp;"Sent from the Preston Mazda enquiry log.","%","%25"),"&amp;","%26")," ","%20"),"#","%23"),CHAR(10),"%0A"),"✉ Email parts"),"")</f>
        <v/>
      </c>
      <c r="U180" s="18" t="str">
        <f aca="false">IF(AND(N180="Yes",O180&lt;&gt;"Yes"),HYPERLINK("mailto:"&amp;Settings!$B$6&amp;"?subject="&amp;SUBSTITUTE(SUBSTITUTE(SUBSTITUTE(SUBSTITUTE(SUBSTITUTE("Customer contact required - "&amp;D180&amp;" "&amp;E180,"%","%25"),"&amp;","%26")," ","%20"),"#","%23"),CHAR(10),"%0A")&amp;"&amp;body="&amp;SUBSTITUTE(SUBSTITUTE(SUBSTITUTE(SUBSTITUTE(SUBSTITUTE("Ref: "&amp;A180&amp;CHAR(10)&amp;"Customer: "&amp;D180&amp;"  "&amp;E180&amp;CHAR(10)&amp;"Phone: "&amp;F180&amp;CHAR(10)&amp;"Email: "&amp;G180&amp;CHAR(10)&amp;"Prefers: "&amp;H180&amp;CHAR(10)&amp;"Enquiry: "&amp;LEFT(I180,600)&amp;CHAR(10)&amp;CHAR(10)&amp;"Sent from the Preston Mazda enquiry log.","%","%25"),"&amp;","%26")," ","%20"),"#","%23"),CHAR(10),"%0A"),"✉ Email advisors"),"")</f>
        <v/>
      </c>
      <c r="V180" s="18" t="str">
        <f aca="false">IF(OR(M180="",IFERROR(INDEX(Staff!$B$4:$B$33,MATCH(M180,Staff!$A$4:$A$33,0)),"")=""),"",HYPERLINK("mailto:"&amp;IFERROR(INDEX(Staff!$B$4:$B$33,MATCH(M180,Staff!$A$4:$A$33,0)),"")&amp;"?subject="&amp;SUBSTITUTE(SUBSTITUTE(SUBSTITUTE(SUBSTITUTE(SUBSTITUTE("Enquiry "&amp;A180&amp;" allocated to you - "&amp;D180,"%","%25"),"&amp;","%26")," ","%20"),"#","%23"),CHAR(10),"%0A")&amp;"&amp;body="&amp;SUBSTITUTE(SUBSTITUTE(SUBSTITUTE(SUBSTITUTE(SUBSTITUTE("Ref: "&amp;A180&amp;CHAR(10)&amp;"Customer: "&amp;D180&amp;"  "&amp;E180&amp;CHAR(10)&amp;"Phone: "&amp;F180&amp;CHAR(10)&amp;"Email: "&amp;G180&amp;CHAR(10)&amp;"Prefers: "&amp;H180&amp;CHAR(10)&amp;"Enquiry: "&amp;LEFT(I180,600)&amp;CHAR(10)&amp;CHAR(10)&amp;"Sent from the Preston Mazda enquiry log.","%","%25"),"&amp;","%26")," ","%20"),"#","%23"),CHAR(10),"%0A"),"✉ Email "&amp;M180))</f>
        <v/>
      </c>
      <c r="W180" s="18" t="str">
        <f aca="false">IF(OR(P180="",IFERROR(INDEX(Staff!$E$4:$E$33,MATCH(P180,Staff!$D$4:$D$33,0)),"")=""),"",HYPERLINK("mailto:"&amp;IFERROR(INDEX(Staff!$E$4:$E$33,MATCH(P180,Staff!$D$4:$D$33,0)),"")&amp;"?subject="&amp;SUBSTITUTE(SUBSTITUTE(SUBSTITUTE(SUBSTITUTE(SUBSTITUTE("Parts quote "&amp;A180&amp;" allocated to you - "&amp;D180,"%","%25"),"&amp;","%26")," ","%20"),"#","%23"),CHAR(10),"%0A")&amp;"&amp;body="&amp;SUBSTITUTE(SUBSTITUTE(SUBSTITUTE(SUBSTITUTE(SUBSTITUTE("Ref: "&amp;A180&amp;CHAR(10)&amp;"Customer: "&amp;D180&amp;"  "&amp;E180&amp;CHAR(10)&amp;"Phone: "&amp;F180&amp;CHAR(10)&amp;"Email: "&amp;G180&amp;CHAR(10)&amp;"Prefers: "&amp;H180&amp;CHAR(10)&amp;"Enquiry: "&amp;LEFT(I180,600)&amp;CHAR(10)&amp;CHAR(10)&amp;"Sent from the Preston Mazda enquiry log.","%","%25"),"&amp;","%26")," ","%20"),"#","%23"),CHAR(10),"%0A"),"✉ Email "&amp;P180))</f>
        <v/>
      </c>
    </row>
    <row r="181" customFormat="false" ht="15" hidden="false" customHeight="false" outlineLevel="0" collapsed="false">
      <c r="A181" s="10" t="str">
        <f aca="false">IF(D181="","","E-"&amp;TEXT(ROW()-3,"0000"))</f>
        <v/>
      </c>
      <c r="B181" s="11"/>
      <c r="C181" s="12"/>
      <c r="D181" s="13"/>
      <c r="E181" s="14"/>
      <c r="F181" s="12"/>
      <c r="G181" s="12"/>
      <c r="H181" s="15"/>
      <c r="I181" s="16"/>
      <c r="J181" s="17" t="str">
        <f aca="false">IF(D181="","",HYPERLINK(Settings!$B$7&amp;A181&amp;".pdf","Open "&amp;A181&amp;".pdf"))</f>
        <v/>
      </c>
      <c r="K181" s="16"/>
      <c r="L181" s="12"/>
      <c r="M181" s="12"/>
      <c r="N181" s="15"/>
      <c r="O181" s="15"/>
      <c r="P181" s="12"/>
      <c r="Q181" s="15"/>
      <c r="R181" s="15"/>
      <c r="S181" s="15" t="str">
        <f aca="false">IF(D181="","",IF(AND(O181="Yes",OR(Q181&lt;&gt;"Yes",R181="Yes")),"Complete","Open"))</f>
        <v/>
      </c>
      <c r="T181" s="18" t="str">
        <f aca="false">IF(AND(Q181="Yes",R181&lt;&gt;"Yes"),HYPERLINK("mailto:"&amp;Settings!$B$5&amp;"?subject="&amp;SUBSTITUTE(SUBSTITUTE(SUBSTITUTE(SUBSTITUTE(SUBSTITUTE("Parts quote required - "&amp;D181&amp;" "&amp;E181,"%","%25"),"&amp;","%26")," ","%20"),"#","%23"),CHAR(10),"%0A")&amp;"&amp;body="&amp;SUBSTITUTE(SUBSTITUTE(SUBSTITUTE(SUBSTITUTE(SUBSTITUTE("Ref: "&amp;A181&amp;CHAR(10)&amp;"Customer: "&amp;D181&amp;"  "&amp;E181&amp;CHAR(10)&amp;"Phone: "&amp;F181&amp;CHAR(10)&amp;"Email: "&amp;G181&amp;CHAR(10)&amp;"Prefers: "&amp;H181&amp;CHAR(10)&amp;"Enquiry: "&amp;LEFT(I181,600)&amp;CHAR(10)&amp;CHAR(10)&amp;"Sent from the Preston Mazda enquiry log.","%","%25"),"&amp;","%26")," ","%20"),"#","%23"),CHAR(10),"%0A"),"✉ Email parts"),"")</f>
        <v/>
      </c>
      <c r="U181" s="18" t="str">
        <f aca="false">IF(AND(N181="Yes",O181&lt;&gt;"Yes"),HYPERLINK("mailto:"&amp;Settings!$B$6&amp;"?subject="&amp;SUBSTITUTE(SUBSTITUTE(SUBSTITUTE(SUBSTITUTE(SUBSTITUTE("Customer contact required - "&amp;D181&amp;" "&amp;E181,"%","%25"),"&amp;","%26")," ","%20"),"#","%23"),CHAR(10),"%0A")&amp;"&amp;body="&amp;SUBSTITUTE(SUBSTITUTE(SUBSTITUTE(SUBSTITUTE(SUBSTITUTE("Ref: "&amp;A181&amp;CHAR(10)&amp;"Customer: "&amp;D181&amp;"  "&amp;E181&amp;CHAR(10)&amp;"Phone: "&amp;F181&amp;CHAR(10)&amp;"Email: "&amp;G181&amp;CHAR(10)&amp;"Prefers: "&amp;H181&amp;CHAR(10)&amp;"Enquiry: "&amp;LEFT(I181,600)&amp;CHAR(10)&amp;CHAR(10)&amp;"Sent from the Preston Mazda enquiry log.","%","%25"),"&amp;","%26")," ","%20"),"#","%23"),CHAR(10),"%0A"),"✉ Email advisors"),"")</f>
        <v/>
      </c>
      <c r="V181" s="18" t="str">
        <f aca="false">IF(OR(M181="",IFERROR(INDEX(Staff!$B$4:$B$33,MATCH(M181,Staff!$A$4:$A$33,0)),"")=""),"",HYPERLINK("mailto:"&amp;IFERROR(INDEX(Staff!$B$4:$B$33,MATCH(M181,Staff!$A$4:$A$33,0)),"")&amp;"?subject="&amp;SUBSTITUTE(SUBSTITUTE(SUBSTITUTE(SUBSTITUTE(SUBSTITUTE("Enquiry "&amp;A181&amp;" allocated to you - "&amp;D181,"%","%25"),"&amp;","%26")," ","%20"),"#","%23"),CHAR(10),"%0A")&amp;"&amp;body="&amp;SUBSTITUTE(SUBSTITUTE(SUBSTITUTE(SUBSTITUTE(SUBSTITUTE("Ref: "&amp;A181&amp;CHAR(10)&amp;"Customer: "&amp;D181&amp;"  "&amp;E181&amp;CHAR(10)&amp;"Phone: "&amp;F181&amp;CHAR(10)&amp;"Email: "&amp;G181&amp;CHAR(10)&amp;"Prefers: "&amp;H181&amp;CHAR(10)&amp;"Enquiry: "&amp;LEFT(I181,600)&amp;CHAR(10)&amp;CHAR(10)&amp;"Sent from the Preston Mazda enquiry log.","%","%25"),"&amp;","%26")," ","%20"),"#","%23"),CHAR(10),"%0A"),"✉ Email "&amp;M181))</f>
        <v/>
      </c>
      <c r="W181" s="18" t="str">
        <f aca="false">IF(OR(P181="",IFERROR(INDEX(Staff!$E$4:$E$33,MATCH(P181,Staff!$D$4:$D$33,0)),"")=""),"",HYPERLINK("mailto:"&amp;IFERROR(INDEX(Staff!$E$4:$E$33,MATCH(P181,Staff!$D$4:$D$33,0)),"")&amp;"?subject="&amp;SUBSTITUTE(SUBSTITUTE(SUBSTITUTE(SUBSTITUTE(SUBSTITUTE("Parts quote "&amp;A181&amp;" allocated to you - "&amp;D181,"%","%25"),"&amp;","%26")," ","%20"),"#","%23"),CHAR(10),"%0A")&amp;"&amp;body="&amp;SUBSTITUTE(SUBSTITUTE(SUBSTITUTE(SUBSTITUTE(SUBSTITUTE("Ref: "&amp;A181&amp;CHAR(10)&amp;"Customer: "&amp;D181&amp;"  "&amp;E181&amp;CHAR(10)&amp;"Phone: "&amp;F181&amp;CHAR(10)&amp;"Email: "&amp;G181&amp;CHAR(10)&amp;"Prefers: "&amp;H181&amp;CHAR(10)&amp;"Enquiry: "&amp;LEFT(I181,600)&amp;CHAR(10)&amp;CHAR(10)&amp;"Sent from the Preston Mazda enquiry log.","%","%25"),"&amp;","%26")," ","%20"),"#","%23"),CHAR(10),"%0A"),"✉ Email "&amp;P181))</f>
        <v/>
      </c>
    </row>
    <row r="182" customFormat="false" ht="15" hidden="false" customHeight="false" outlineLevel="0" collapsed="false">
      <c r="A182" s="10" t="str">
        <f aca="false">IF(D182="","","E-"&amp;TEXT(ROW()-3,"0000"))</f>
        <v/>
      </c>
      <c r="B182" s="11"/>
      <c r="C182" s="12"/>
      <c r="D182" s="13"/>
      <c r="E182" s="14"/>
      <c r="F182" s="12"/>
      <c r="G182" s="12"/>
      <c r="H182" s="15"/>
      <c r="I182" s="16"/>
      <c r="J182" s="17" t="str">
        <f aca="false">IF(D182="","",HYPERLINK(Settings!$B$7&amp;A182&amp;".pdf","Open "&amp;A182&amp;".pdf"))</f>
        <v/>
      </c>
      <c r="K182" s="16"/>
      <c r="L182" s="12"/>
      <c r="M182" s="12"/>
      <c r="N182" s="15"/>
      <c r="O182" s="15"/>
      <c r="P182" s="12"/>
      <c r="Q182" s="15"/>
      <c r="R182" s="15"/>
      <c r="S182" s="15" t="str">
        <f aca="false">IF(D182="","",IF(AND(O182="Yes",OR(Q182&lt;&gt;"Yes",R182="Yes")),"Complete","Open"))</f>
        <v/>
      </c>
      <c r="T182" s="18" t="str">
        <f aca="false">IF(AND(Q182="Yes",R182&lt;&gt;"Yes"),HYPERLINK("mailto:"&amp;Settings!$B$5&amp;"?subject="&amp;SUBSTITUTE(SUBSTITUTE(SUBSTITUTE(SUBSTITUTE(SUBSTITUTE("Parts quote required - "&amp;D182&amp;" "&amp;E182,"%","%25"),"&amp;","%26")," ","%20"),"#","%23"),CHAR(10),"%0A")&amp;"&amp;body="&amp;SUBSTITUTE(SUBSTITUTE(SUBSTITUTE(SUBSTITUTE(SUBSTITUTE("Ref: "&amp;A182&amp;CHAR(10)&amp;"Customer: "&amp;D182&amp;"  "&amp;E182&amp;CHAR(10)&amp;"Phone: "&amp;F182&amp;CHAR(10)&amp;"Email: "&amp;G182&amp;CHAR(10)&amp;"Prefers: "&amp;H182&amp;CHAR(10)&amp;"Enquiry: "&amp;LEFT(I182,600)&amp;CHAR(10)&amp;CHAR(10)&amp;"Sent from the Preston Mazda enquiry log.","%","%25"),"&amp;","%26")," ","%20"),"#","%23"),CHAR(10),"%0A"),"✉ Email parts"),"")</f>
        <v/>
      </c>
      <c r="U182" s="18" t="str">
        <f aca="false">IF(AND(N182="Yes",O182&lt;&gt;"Yes"),HYPERLINK("mailto:"&amp;Settings!$B$6&amp;"?subject="&amp;SUBSTITUTE(SUBSTITUTE(SUBSTITUTE(SUBSTITUTE(SUBSTITUTE("Customer contact required - "&amp;D182&amp;" "&amp;E182,"%","%25"),"&amp;","%26")," ","%20"),"#","%23"),CHAR(10),"%0A")&amp;"&amp;body="&amp;SUBSTITUTE(SUBSTITUTE(SUBSTITUTE(SUBSTITUTE(SUBSTITUTE("Ref: "&amp;A182&amp;CHAR(10)&amp;"Customer: "&amp;D182&amp;"  "&amp;E182&amp;CHAR(10)&amp;"Phone: "&amp;F182&amp;CHAR(10)&amp;"Email: "&amp;G182&amp;CHAR(10)&amp;"Prefers: "&amp;H182&amp;CHAR(10)&amp;"Enquiry: "&amp;LEFT(I182,600)&amp;CHAR(10)&amp;CHAR(10)&amp;"Sent from the Preston Mazda enquiry log.","%","%25"),"&amp;","%26")," ","%20"),"#","%23"),CHAR(10),"%0A"),"✉ Email advisors"),"")</f>
        <v/>
      </c>
      <c r="V182" s="18" t="str">
        <f aca="false">IF(OR(M182="",IFERROR(INDEX(Staff!$B$4:$B$33,MATCH(M182,Staff!$A$4:$A$33,0)),"")=""),"",HYPERLINK("mailto:"&amp;IFERROR(INDEX(Staff!$B$4:$B$33,MATCH(M182,Staff!$A$4:$A$33,0)),"")&amp;"?subject="&amp;SUBSTITUTE(SUBSTITUTE(SUBSTITUTE(SUBSTITUTE(SUBSTITUTE("Enquiry "&amp;A182&amp;" allocated to you - "&amp;D182,"%","%25"),"&amp;","%26")," ","%20"),"#","%23"),CHAR(10),"%0A")&amp;"&amp;body="&amp;SUBSTITUTE(SUBSTITUTE(SUBSTITUTE(SUBSTITUTE(SUBSTITUTE("Ref: "&amp;A182&amp;CHAR(10)&amp;"Customer: "&amp;D182&amp;"  "&amp;E182&amp;CHAR(10)&amp;"Phone: "&amp;F182&amp;CHAR(10)&amp;"Email: "&amp;G182&amp;CHAR(10)&amp;"Prefers: "&amp;H182&amp;CHAR(10)&amp;"Enquiry: "&amp;LEFT(I182,600)&amp;CHAR(10)&amp;CHAR(10)&amp;"Sent from the Preston Mazda enquiry log.","%","%25"),"&amp;","%26")," ","%20"),"#","%23"),CHAR(10),"%0A"),"✉ Email "&amp;M182))</f>
        <v/>
      </c>
      <c r="W182" s="18" t="str">
        <f aca="false">IF(OR(P182="",IFERROR(INDEX(Staff!$E$4:$E$33,MATCH(P182,Staff!$D$4:$D$33,0)),"")=""),"",HYPERLINK("mailto:"&amp;IFERROR(INDEX(Staff!$E$4:$E$33,MATCH(P182,Staff!$D$4:$D$33,0)),"")&amp;"?subject="&amp;SUBSTITUTE(SUBSTITUTE(SUBSTITUTE(SUBSTITUTE(SUBSTITUTE("Parts quote "&amp;A182&amp;" allocated to you - "&amp;D182,"%","%25"),"&amp;","%26")," ","%20"),"#","%23"),CHAR(10),"%0A")&amp;"&amp;body="&amp;SUBSTITUTE(SUBSTITUTE(SUBSTITUTE(SUBSTITUTE(SUBSTITUTE("Ref: "&amp;A182&amp;CHAR(10)&amp;"Customer: "&amp;D182&amp;"  "&amp;E182&amp;CHAR(10)&amp;"Phone: "&amp;F182&amp;CHAR(10)&amp;"Email: "&amp;G182&amp;CHAR(10)&amp;"Prefers: "&amp;H182&amp;CHAR(10)&amp;"Enquiry: "&amp;LEFT(I182,600)&amp;CHAR(10)&amp;CHAR(10)&amp;"Sent from the Preston Mazda enquiry log.","%","%25"),"&amp;","%26")," ","%20"),"#","%23"),CHAR(10),"%0A"),"✉ Email "&amp;P182))</f>
        <v/>
      </c>
    </row>
    <row r="183" customFormat="false" ht="15" hidden="false" customHeight="false" outlineLevel="0" collapsed="false">
      <c r="A183" s="10" t="str">
        <f aca="false">IF(D183="","","E-"&amp;TEXT(ROW()-3,"0000"))</f>
        <v/>
      </c>
      <c r="B183" s="11"/>
      <c r="C183" s="12"/>
      <c r="D183" s="13"/>
      <c r="E183" s="14"/>
      <c r="F183" s="12"/>
      <c r="G183" s="12"/>
      <c r="H183" s="15"/>
      <c r="I183" s="16"/>
      <c r="J183" s="17" t="str">
        <f aca="false">IF(D183="","",HYPERLINK(Settings!$B$7&amp;A183&amp;".pdf","Open "&amp;A183&amp;".pdf"))</f>
        <v/>
      </c>
      <c r="K183" s="16"/>
      <c r="L183" s="12"/>
      <c r="M183" s="12"/>
      <c r="N183" s="15"/>
      <c r="O183" s="15"/>
      <c r="P183" s="12"/>
      <c r="Q183" s="15"/>
      <c r="R183" s="15"/>
      <c r="S183" s="15" t="str">
        <f aca="false">IF(D183="","",IF(AND(O183="Yes",OR(Q183&lt;&gt;"Yes",R183="Yes")),"Complete","Open"))</f>
        <v/>
      </c>
      <c r="T183" s="18" t="str">
        <f aca="false">IF(AND(Q183="Yes",R183&lt;&gt;"Yes"),HYPERLINK("mailto:"&amp;Settings!$B$5&amp;"?subject="&amp;SUBSTITUTE(SUBSTITUTE(SUBSTITUTE(SUBSTITUTE(SUBSTITUTE("Parts quote required - "&amp;D183&amp;" "&amp;E183,"%","%25"),"&amp;","%26")," ","%20"),"#","%23"),CHAR(10),"%0A")&amp;"&amp;body="&amp;SUBSTITUTE(SUBSTITUTE(SUBSTITUTE(SUBSTITUTE(SUBSTITUTE("Ref: "&amp;A183&amp;CHAR(10)&amp;"Customer: "&amp;D183&amp;"  "&amp;E183&amp;CHAR(10)&amp;"Phone: "&amp;F183&amp;CHAR(10)&amp;"Email: "&amp;G183&amp;CHAR(10)&amp;"Prefers: "&amp;H183&amp;CHAR(10)&amp;"Enquiry: "&amp;LEFT(I183,600)&amp;CHAR(10)&amp;CHAR(10)&amp;"Sent from the Preston Mazda enquiry log.","%","%25"),"&amp;","%26")," ","%20"),"#","%23"),CHAR(10),"%0A"),"✉ Email parts"),"")</f>
        <v/>
      </c>
      <c r="U183" s="18" t="str">
        <f aca="false">IF(AND(N183="Yes",O183&lt;&gt;"Yes"),HYPERLINK("mailto:"&amp;Settings!$B$6&amp;"?subject="&amp;SUBSTITUTE(SUBSTITUTE(SUBSTITUTE(SUBSTITUTE(SUBSTITUTE("Customer contact required - "&amp;D183&amp;" "&amp;E183,"%","%25"),"&amp;","%26")," ","%20"),"#","%23"),CHAR(10),"%0A")&amp;"&amp;body="&amp;SUBSTITUTE(SUBSTITUTE(SUBSTITUTE(SUBSTITUTE(SUBSTITUTE("Ref: "&amp;A183&amp;CHAR(10)&amp;"Customer: "&amp;D183&amp;"  "&amp;E183&amp;CHAR(10)&amp;"Phone: "&amp;F183&amp;CHAR(10)&amp;"Email: "&amp;G183&amp;CHAR(10)&amp;"Prefers: "&amp;H183&amp;CHAR(10)&amp;"Enquiry: "&amp;LEFT(I183,600)&amp;CHAR(10)&amp;CHAR(10)&amp;"Sent from the Preston Mazda enquiry log.","%","%25"),"&amp;","%26")," ","%20"),"#","%23"),CHAR(10),"%0A"),"✉ Email advisors"),"")</f>
        <v/>
      </c>
      <c r="V183" s="18" t="str">
        <f aca="false">IF(OR(M183="",IFERROR(INDEX(Staff!$B$4:$B$33,MATCH(M183,Staff!$A$4:$A$33,0)),"")=""),"",HYPERLINK("mailto:"&amp;IFERROR(INDEX(Staff!$B$4:$B$33,MATCH(M183,Staff!$A$4:$A$33,0)),"")&amp;"?subject="&amp;SUBSTITUTE(SUBSTITUTE(SUBSTITUTE(SUBSTITUTE(SUBSTITUTE("Enquiry "&amp;A183&amp;" allocated to you - "&amp;D183,"%","%25"),"&amp;","%26")," ","%20"),"#","%23"),CHAR(10),"%0A")&amp;"&amp;body="&amp;SUBSTITUTE(SUBSTITUTE(SUBSTITUTE(SUBSTITUTE(SUBSTITUTE("Ref: "&amp;A183&amp;CHAR(10)&amp;"Customer: "&amp;D183&amp;"  "&amp;E183&amp;CHAR(10)&amp;"Phone: "&amp;F183&amp;CHAR(10)&amp;"Email: "&amp;G183&amp;CHAR(10)&amp;"Prefers: "&amp;H183&amp;CHAR(10)&amp;"Enquiry: "&amp;LEFT(I183,600)&amp;CHAR(10)&amp;CHAR(10)&amp;"Sent from the Preston Mazda enquiry log.","%","%25"),"&amp;","%26")," ","%20"),"#","%23"),CHAR(10),"%0A"),"✉ Email "&amp;M183))</f>
        <v/>
      </c>
      <c r="W183" s="18" t="str">
        <f aca="false">IF(OR(P183="",IFERROR(INDEX(Staff!$E$4:$E$33,MATCH(P183,Staff!$D$4:$D$33,0)),"")=""),"",HYPERLINK("mailto:"&amp;IFERROR(INDEX(Staff!$E$4:$E$33,MATCH(P183,Staff!$D$4:$D$33,0)),"")&amp;"?subject="&amp;SUBSTITUTE(SUBSTITUTE(SUBSTITUTE(SUBSTITUTE(SUBSTITUTE("Parts quote "&amp;A183&amp;" allocated to you - "&amp;D183,"%","%25"),"&amp;","%26")," ","%20"),"#","%23"),CHAR(10),"%0A")&amp;"&amp;body="&amp;SUBSTITUTE(SUBSTITUTE(SUBSTITUTE(SUBSTITUTE(SUBSTITUTE("Ref: "&amp;A183&amp;CHAR(10)&amp;"Customer: "&amp;D183&amp;"  "&amp;E183&amp;CHAR(10)&amp;"Phone: "&amp;F183&amp;CHAR(10)&amp;"Email: "&amp;G183&amp;CHAR(10)&amp;"Prefers: "&amp;H183&amp;CHAR(10)&amp;"Enquiry: "&amp;LEFT(I183,600)&amp;CHAR(10)&amp;CHAR(10)&amp;"Sent from the Preston Mazda enquiry log.","%","%25"),"&amp;","%26")," ","%20"),"#","%23"),CHAR(10),"%0A"),"✉ Email "&amp;P183))</f>
        <v/>
      </c>
    </row>
    <row r="184" customFormat="false" ht="15" hidden="false" customHeight="false" outlineLevel="0" collapsed="false">
      <c r="A184" s="10" t="str">
        <f aca="false">IF(D184="","","E-"&amp;TEXT(ROW()-3,"0000"))</f>
        <v/>
      </c>
      <c r="B184" s="11"/>
      <c r="C184" s="12"/>
      <c r="D184" s="13"/>
      <c r="E184" s="14"/>
      <c r="F184" s="12"/>
      <c r="G184" s="12"/>
      <c r="H184" s="15"/>
      <c r="I184" s="16"/>
      <c r="J184" s="17" t="str">
        <f aca="false">IF(D184="","",HYPERLINK(Settings!$B$7&amp;A184&amp;".pdf","Open "&amp;A184&amp;".pdf"))</f>
        <v/>
      </c>
      <c r="K184" s="16"/>
      <c r="L184" s="12"/>
      <c r="M184" s="12"/>
      <c r="N184" s="15"/>
      <c r="O184" s="15"/>
      <c r="P184" s="12"/>
      <c r="Q184" s="15"/>
      <c r="R184" s="15"/>
      <c r="S184" s="15" t="str">
        <f aca="false">IF(D184="","",IF(AND(O184="Yes",OR(Q184&lt;&gt;"Yes",R184="Yes")),"Complete","Open"))</f>
        <v/>
      </c>
      <c r="T184" s="18" t="str">
        <f aca="false">IF(AND(Q184="Yes",R184&lt;&gt;"Yes"),HYPERLINK("mailto:"&amp;Settings!$B$5&amp;"?subject="&amp;SUBSTITUTE(SUBSTITUTE(SUBSTITUTE(SUBSTITUTE(SUBSTITUTE("Parts quote required - "&amp;D184&amp;" "&amp;E184,"%","%25"),"&amp;","%26")," ","%20"),"#","%23"),CHAR(10),"%0A")&amp;"&amp;body="&amp;SUBSTITUTE(SUBSTITUTE(SUBSTITUTE(SUBSTITUTE(SUBSTITUTE("Ref: "&amp;A184&amp;CHAR(10)&amp;"Customer: "&amp;D184&amp;"  "&amp;E184&amp;CHAR(10)&amp;"Phone: "&amp;F184&amp;CHAR(10)&amp;"Email: "&amp;G184&amp;CHAR(10)&amp;"Prefers: "&amp;H184&amp;CHAR(10)&amp;"Enquiry: "&amp;LEFT(I184,600)&amp;CHAR(10)&amp;CHAR(10)&amp;"Sent from the Preston Mazda enquiry log.","%","%25"),"&amp;","%26")," ","%20"),"#","%23"),CHAR(10),"%0A"),"✉ Email parts"),"")</f>
        <v/>
      </c>
      <c r="U184" s="18" t="str">
        <f aca="false">IF(AND(N184="Yes",O184&lt;&gt;"Yes"),HYPERLINK("mailto:"&amp;Settings!$B$6&amp;"?subject="&amp;SUBSTITUTE(SUBSTITUTE(SUBSTITUTE(SUBSTITUTE(SUBSTITUTE("Customer contact required - "&amp;D184&amp;" "&amp;E184,"%","%25"),"&amp;","%26")," ","%20"),"#","%23"),CHAR(10),"%0A")&amp;"&amp;body="&amp;SUBSTITUTE(SUBSTITUTE(SUBSTITUTE(SUBSTITUTE(SUBSTITUTE("Ref: "&amp;A184&amp;CHAR(10)&amp;"Customer: "&amp;D184&amp;"  "&amp;E184&amp;CHAR(10)&amp;"Phone: "&amp;F184&amp;CHAR(10)&amp;"Email: "&amp;G184&amp;CHAR(10)&amp;"Prefers: "&amp;H184&amp;CHAR(10)&amp;"Enquiry: "&amp;LEFT(I184,600)&amp;CHAR(10)&amp;CHAR(10)&amp;"Sent from the Preston Mazda enquiry log.","%","%25"),"&amp;","%26")," ","%20"),"#","%23"),CHAR(10),"%0A"),"✉ Email advisors"),"")</f>
        <v/>
      </c>
      <c r="V184" s="18" t="str">
        <f aca="false">IF(OR(M184="",IFERROR(INDEX(Staff!$B$4:$B$33,MATCH(M184,Staff!$A$4:$A$33,0)),"")=""),"",HYPERLINK("mailto:"&amp;IFERROR(INDEX(Staff!$B$4:$B$33,MATCH(M184,Staff!$A$4:$A$33,0)),"")&amp;"?subject="&amp;SUBSTITUTE(SUBSTITUTE(SUBSTITUTE(SUBSTITUTE(SUBSTITUTE("Enquiry "&amp;A184&amp;" allocated to you - "&amp;D184,"%","%25"),"&amp;","%26")," ","%20"),"#","%23"),CHAR(10),"%0A")&amp;"&amp;body="&amp;SUBSTITUTE(SUBSTITUTE(SUBSTITUTE(SUBSTITUTE(SUBSTITUTE("Ref: "&amp;A184&amp;CHAR(10)&amp;"Customer: "&amp;D184&amp;"  "&amp;E184&amp;CHAR(10)&amp;"Phone: "&amp;F184&amp;CHAR(10)&amp;"Email: "&amp;G184&amp;CHAR(10)&amp;"Prefers: "&amp;H184&amp;CHAR(10)&amp;"Enquiry: "&amp;LEFT(I184,600)&amp;CHAR(10)&amp;CHAR(10)&amp;"Sent from the Preston Mazda enquiry log.","%","%25"),"&amp;","%26")," ","%20"),"#","%23"),CHAR(10),"%0A"),"✉ Email "&amp;M184))</f>
        <v/>
      </c>
      <c r="W184" s="18" t="str">
        <f aca="false">IF(OR(P184="",IFERROR(INDEX(Staff!$E$4:$E$33,MATCH(P184,Staff!$D$4:$D$33,0)),"")=""),"",HYPERLINK("mailto:"&amp;IFERROR(INDEX(Staff!$E$4:$E$33,MATCH(P184,Staff!$D$4:$D$33,0)),"")&amp;"?subject="&amp;SUBSTITUTE(SUBSTITUTE(SUBSTITUTE(SUBSTITUTE(SUBSTITUTE("Parts quote "&amp;A184&amp;" allocated to you - "&amp;D184,"%","%25"),"&amp;","%26")," ","%20"),"#","%23"),CHAR(10),"%0A")&amp;"&amp;body="&amp;SUBSTITUTE(SUBSTITUTE(SUBSTITUTE(SUBSTITUTE(SUBSTITUTE("Ref: "&amp;A184&amp;CHAR(10)&amp;"Customer: "&amp;D184&amp;"  "&amp;E184&amp;CHAR(10)&amp;"Phone: "&amp;F184&amp;CHAR(10)&amp;"Email: "&amp;G184&amp;CHAR(10)&amp;"Prefers: "&amp;H184&amp;CHAR(10)&amp;"Enquiry: "&amp;LEFT(I184,600)&amp;CHAR(10)&amp;CHAR(10)&amp;"Sent from the Preston Mazda enquiry log.","%","%25"),"&amp;","%26")," ","%20"),"#","%23"),CHAR(10),"%0A"),"✉ Email "&amp;P184))</f>
        <v/>
      </c>
    </row>
    <row r="185" customFormat="false" ht="15" hidden="false" customHeight="false" outlineLevel="0" collapsed="false">
      <c r="A185" s="10" t="str">
        <f aca="false">IF(D185="","","E-"&amp;TEXT(ROW()-3,"0000"))</f>
        <v/>
      </c>
      <c r="B185" s="11"/>
      <c r="C185" s="12"/>
      <c r="D185" s="13"/>
      <c r="E185" s="14"/>
      <c r="F185" s="12"/>
      <c r="G185" s="12"/>
      <c r="H185" s="15"/>
      <c r="I185" s="16"/>
      <c r="J185" s="17" t="str">
        <f aca="false">IF(D185="","",HYPERLINK(Settings!$B$7&amp;A185&amp;".pdf","Open "&amp;A185&amp;".pdf"))</f>
        <v/>
      </c>
      <c r="K185" s="16"/>
      <c r="L185" s="12"/>
      <c r="M185" s="12"/>
      <c r="N185" s="15"/>
      <c r="O185" s="15"/>
      <c r="P185" s="12"/>
      <c r="Q185" s="15"/>
      <c r="R185" s="15"/>
      <c r="S185" s="15" t="str">
        <f aca="false">IF(D185="","",IF(AND(O185="Yes",OR(Q185&lt;&gt;"Yes",R185="Yes")),"Complete","Open"))</f>
        <v/>
      </c>
      <c r="T185" s="18" t="str">
        <f aca="false">IF(AND(Q185="Yes",R185&lt;&gt;"Yes"),HYPERLINK("mailto:"&amp;Settings!$B$5&amp;"?subject="&amp;SUBSTITUTE(SUBSTITUTE(SUBSTITUTE(SUBSTITUTE(SUBSTITUTE("Parts quote required - "&amp;D185&amp;" "&amp;E185,"%","%25"),"&amp;","%26")," ","%20"),"#","%23"),CHAR(10),"%0A")&amp;"&amp;body="&amp;SUBSTITUTE(SUBSTITUTE(SUBSTITUTE(SUBSTITUTE(SUBSTITUTE("Ref: "&amp;A185&amp;CHAR(10)&amp;"Customer: "&amp;D185&amp;"  "&amp;E185&amp;CHAR(10)&amp;"Phone: "&amp;F185&amp;CHAR(10)&amp;"Email: "&amp;G185&amp;CHAR(10)&amp;"Prefers: "&amp;H185&amp;CHAR(10)&amp;"Enquiry: "&amp;LEFT(I185,600)&amp;CHAR(10)&amp;CHAR(10)&amp;"Sent from the Preston Mazda enquiry log.","%","%25"),"&amp;","%26")," ","%20"),"#","%23"),CHAR(10),"%0A"),"✉ Email parts"),"")</f>
        <v/>
      </c>
      <c r="U185" s="18" t="str">
        <f aca="false">IF(AND(N185="Yes",O185&lt;&gt;"Yes"),HYPERLINK("mailto:"&amp;Settings!$B$6&amp;"?subject="&amp;SUBSTITUTE(SUBSTITUTE(SUBSTITUTE(SUBSTITUTE(SUBSTITUTE("Customer contact required - "&amp;D185&amp;" "&amp;E185,"%","%25"),"&amp;","%26")," ","%20"),"#","%23"),CHAR(10),"%0A")&amp;"&amp;body="&amp;SUBSTITUTE(SUBSTITUTE(SUBSTITUTE(SUBSTITUTE(SUBSTITUTE("Ref: "&amp;A185&amp;CHAR(10)&amp;"Customer: "&amp;D185&amp;"  "&amp;E185&amp;CHAR(10)&amp;"Phone: "&amp;F185&amp;CHAR(10)&amp;"Email: "&amp;G185&amp;CHAR(10)&amp;"Prefers: "&amp;H185&amp;CHAR(10)&amp;"Enquiry: "&amp;LEFT(I185,600)&amp;CHAR(10)&amp;CHAR(10)&amp;"Sent from the Preston Mazda enquiry log.","%","%25"),"&amp;","%26")," ","%20"),"#","%23"),CHAR(10),"%0A"),"✉ Email advisors"),"")</f>
        <v/>
      </c>
      <c r="V185" s="18" t="str">
        <f aca="false">IF(OR(M185="",IFERROR(INDEX(Staff!$B$4:$B$33,MATCH(M185,Staff!$A$4:$A$33,0)),"")=""),"",HYPERLINK("mailto:"&amp;IFERROR(INDEX(Staff!$B$4:$B$33,MATCH(M185,Staff!$A$4:$A$33,0)),"")&amp;"?subject="&amp;SUBSTITUTE(SUBSTITUTE(SUBSTITUTE(SUBSTITUTE(SUBSTITUTE("Enquiry "&amp;A185&amp;" allocated to you - "&amp;D185,"%","%25"),"&amp;","%26")," ","%20"),"#","%23"),CHAR(10),"%0A")&amp;"&amp;body="&amp;SUBSTITUTE(SUBSTITUTE(SUBSTITUTE(SUBSTITUTE(SUBSTITUTE("Ref: "&amp;A185&amp;CHAR(10)&amp;"Customer: "&amp;D185&amp;"  "&amp;E185&amp;CHAR(10)&amp;"Phone: "&amp;F185&amp;CHAR(10)&amp;"Email: "&amp;G185&amp;CHAR(10)&amp;"Prefers: "&amp;H185&amp;CHAR(10)&amp;"Enquiry: "&amp;LEFT(I185,600)&amp;CHAR(10)&amp;CHAR(10)&amp;"Sent from the Preston Mazda enquiry log.","%","%25"),"&amp;","%26")," ","%20"),"#","%23"),CHAR(10),"%0A"),"✉ Email "&amp;M185))</f>
        <v/>
      </c>
      <c r="W185" s="18" t="str">
        <f aca="false">IF(OR(P185="",IFERROR(INDEX(Staff!$E$4:$E$33,MATCH(P185,Staff!$D$4:$D$33,0)),"")=""),"",HYPERLINK("mailto:"&amp;IFERROR(INDEX(Staff!$E$4:$E$33,MATCH(P185,Staff!$D$4:$D$33,0)),"")&amp;"?subject="&amp;SUBSTITUTE(SUBSTITUTE(SUBSTITUTE(SUBSTITUTE(SUBSTITUTE("Parts quote "&amp;A185&amp;" allocated to you - "&amp;D185,"%","%25"),"&amp;","%26")," ","%20"),"#","%23"),CHAR(10),"%0A")&amp;"&amp;body="&amp;SUBSTITUTE(SUBSTITUTE(SUBSTITUTE(SUBSTITUTE(SUBSTITUTE("Ref: "&amp;A185&amp;CHAR(10)&amp;"Customer: "&amp;D185&amp;"  "&amp;E185&amp;CHAR(10)&amp;"Phone: "&amp;F185&amp;CHAR(10)&amp;"Email: "&amp;G185&amp;CHAR(10)&amp;"Prefers: "&amp;H185&amp;CHAR(10)&amp;"Enquiry: "&amp;LEFT(I185,600)&amp;CHAR(10)&amp;CHAR(10)&amp;"Sent from the Preston Mazda enquiry log.","%","%25"),"&amp;","%26")," ","%20"),"#","%23"),CHAR(10),"%0A"),"✉ Email "&amp;P185))</f>
        <v/>
      </c>
    </row>
    <row r="186" customFormat="false" ht="15" hidden="false" customHeight="false" outlineLevel="0" collapsed="false">
      <c r="A186" s="10" t="str">
        <f aca="false">IF(D186="","","E-"&amp;TEXT(ROW()-3,"0000"))</f>
        <v/>
      </c>
      <c r="B186" s="11"/>
      <c r="C186" s="12"/>
      <c r="D186" s="13"/>
      <c r="E186" s="14"/>
      <c r="F186" s="12"/>
      <c r="G186" s="12"/>
      <c r="H186" s="15"/>
      <c r="I186" s="16"/>
      <c r="J186" s="17" t="str">
        <f aca="false">IF(D186="","",HYPERLINK(Settings!$B$7&amp;A186&amp;".pdf","Open "&amp;A186&amp;".pdf"))</f>
        <v/>
      </c>
      <c r="K186" s="16"/>
      <c r="L186" s="12"/>
      <c r="M186" s="12"/>
      <c r="N186" s="15"/>
      <c r="O186" s="15"/>
      <c r="P186" s="12"/>
      <c r="Q186" s="15"/>
      <c r="R186" s="15"/>
      <c r="S186" s="15" t="str">
        <f aca="false">IF(D186="","",IF(AND(O186="Yes",OR(Q186&lt;&gt;"Yes",R186="Yes")),"Complete","Open"))</f>
        <v/>
      </c>
      <c r="T186" s="18" t="str">
        <f aca="false">IF(AND(Q186="Yes",R186&lt;&gt;"Yes"),HYPERLINK("mailto:"&amp;Settings!$B$5&amp;"?subject="&amp;SUBSTITUTE(SUBSTITUTE(SUBSTITUTE(SUBSTITUTE(SUBSTITUTE("Parts quote required - "&amp;D186&amp;" "&amp;E186,"%","%25"),"&amp;","%26")," ","%20"),"#","%23"),CHAR(10),"%0A")&amp;"&amp;body="&amp;SUBSTITUTE(SUBSTITUTE(SUBSTITUTE(SUBSTITUTE(SUBSTITUTE("Ref: "&amp;A186&amp;CHAR(10)&amp;"Customer: "&amp;D186&amp;"  "&amp;E186&amp;CHAR(10)&amp;"Phone: "&amp;F186&amp;CHAR(10)&amp;"Email: "&amp;G186&amp;CHAR(10)&amp;"Prefers: "&amp;H186&amp;CHAR(10)&amp;"Enquiry: "&amp;LEFT(I186,600)&amp;CHAR(10)&amp;CHAR(10)&amp;"Sent from the Preston Mazda enquiry log.","%","%25"),"&amp;","%26")," ","%20"),"#","%23"),CHAR(10),"%0A"),"✉ Email parts"),"")</f>
        <v/>
      </c>
      <c r="U186" s="18" t="str">
        <f aca="false">IF(AND(N186="Yes",O186&lt;&gt;"Yes"),HYPERLINK("mailto:"&amp;Settings!$B$6&amp;"?subject="&amp;SUBSTITUTE(SUBSTITUTE(SUBSTITUTE(SUBSTITUTE(SUBSTITUTE("Customer contact required - "&amp;D186&amp;" "&amp;E186,"%","%25"),"&amp;","%26")," ","%20"),"#","%23"),CHAR(10),"%0A")&amp;"&amp;body="&amp;SUBSTITUTE(SUBSTITUTE(SUBSTITUTE(SUBSTITUTE(SUBSTITUTE("Ref: "&amp;A186&amp;CHAR(10)&amp;"Customer: "&amp;D186&amp;"  "&amp;E186&amp;CHAR(10)&amp;"Phone: "&amp;F186&amp;CHAR(10)&amp;"Email: "&amp;G186&amp;CHAR(10)&amp;"Prefers: "&amp;H186&amp;CHAR(10)&amp;"Enquiry: "&amp;LEFT(I186,600)&amp;CHAR(10)&amp;CHAR(10)&amp;"Sent from the Preston Mazda enquiry log.","%","%25"),"&amp;","%26")," ","%20"),"#","%23"),CHAR(10),"%0A"),"✉ Email advisors"),"")</f>
        <v/>
      </c>
      <c r="V186" s="18" t="str">
        <f aca="false">IF(OR(M186="",IFERROR(INDEX(Staff!$B$4:$B$33,MATCH(M186,Staff!$A$4:$A$33,0)),"")=""),"",HYPERLINK("mailto:"&amp;IFERROR(INDEX(Staff!$B$4:$B$33,MATCH(M186,Staff!$A$4:$A$33,0)),"")&amp;"?subject="&amp;SUBSTITUTE(SUBSTITUTE(SUBSTITUTE(SUBSTITUTE(SUBSTITUTE("Enquiry "&amp;A186&amp;" allocated to you - "&amp;D186,"%","%25"),"&amp;","%26")," ","%20"),"#","%23"),CHAR(10),"%0A")&amp;"&amp;body="&amp;SUBSTITUTE(SUBSTITUTE(SUBSTITUTE(SUBSTITUTE(SUBSTITUTE("Ref: "&amp;A186&amp;CHAR(10)&amp;"Customer: "&amp;D186&amp;"  "&amp;E186&amp;CHAR(10)&amp;"Phone: "&amp;F186&amp;CHAR(10)&amp;"Email: "&amp;G186&amp;CHAR(10)&amp;"Prefers: "&amp;H186&amp;CHAR(10)&amp;"Enquiry: "&amp;LEFT(I186,600)&amp;CHAR(10)&amp;CHAR(10)&amp;"Sent from the Preston Mazda enquiry log.","%","%25"),"&amp;","%26")," ","%20"),"#","%23"),CHAR(10),"%0A"),"✉ Email "&amp;M186))</f>
        <v/>
      </c>
      <c r="W186" s="18" t="str">
        <f aca="false">IF(OR(P186="",IFERROR(INDEX(Staff!$E$4:$E$33,MATCH(P186,Staff!$D$4:$D$33,0)),"")=""),"",HYPERLINK("mailto:"&amp;IFERROR(INDEX(Staff!$E$4:$E$33,MATCH(P186,Staff!$D$4:$D$33,0)),"")&amp;"?subject="&amp;SUBSTITUTE(SUBSTITUTE(SUBSTITUTE(SUBSTITUTE(SUBSTITUTE("Parts quote "&amp;A186&amp;" allocated to you - "&amp;D186,"%","%25"),"&amp;","%26")," ","%20"),"#","%23"),CHAR(10),"%0A")&amp;"&amp;body="&amp;SUBSTITUTE(SUBSTITUTE(SUBSTITUTE(SUBSTITUTE(SUBSTITUTE("Ref: "&amp;A186&amp;CHAR(10)&amp;"Customer: "&amp;D186&amp;"  "&amp;E186&amp;CHAR(10)&amp;"Phone: "&amp;F186&amp;CHAR(10)&amp;"Email: "&amp;G186&amp;CHAR(10)&amp;"Prefers: "&amp;H186&amp;CHAR(10)&amp;"Enquiry: "&amp;LEFT(I186,600)&amp;CHAR(10)&amp;CHAR(10)&amp;"Sent from the Preston Mazda enquiry log.","%","%25"),"&amp;","%26")," ","%20"),"#","%23"),CHAR(10),"%0A"),"✉ Email "&amp;P186))</f>
        <v/>
      </c>
    </row>
    <row r="187" customFormat="false" ht="15" hidden="false" customHeight="false" outlineLevel="0" collapsed="false">
      <c r="A187" s="10" t="str">
        <f aca="false">IF(D187="","","E-"&amp;TEXT(ROW()-3,"0000"))</f>
        <v/>
      </c>
      <c r="B187" s="11"/>
      <c r="C187" s="12"/>
      <c r="D187" s="13"/>
      <c r="E187" s="14"/>
      <c r="F187" s="12"/>
      <c r="G187" s="12"/>
      <c r="H187" s="15"/>
      <c r="I187" s="16"/>
      <c r="J187" s="17" t="str">
        <f aca="false">IF(D187="","",HYPERLINK(Settings!$B$7&amp;A187&amp;".pdf","Open "&amp;A187&amp;".pdf"))</f>
        <v/>
      </c>
      <c r="K187" s="16"/>
      <c r="L187" s="12"/>
      <c r="M187" s="12"/>
      <c r="N187" s="15"/>
      <c r="O187" s="15"/>
      <c r="P187" s="12"/>
      <c r="Q187" s="15"/>
      <c r="R187" s="15"/>
      <c r="S187" s="15" t="str">
        <f aca="false">IF(D187="","",IF(AND(O187="Yes",OR(Q187&lt;&gt;"Yes",R187="Yes")),"Complete","Open"))</f>
        <v/>
      </c>
      <c r="T187" s="18" t="str">
        <f aca="false">IF(AND(Q187="Yes",R187&lt;&gt;"Yes"),HYPERLINK("mailto:"&amp;Settings!$B$5&amp;"?subject="&amp;SUBSTITUTE(SUBSTITUTE(SUBSTITUTE(SUBSTITUTE(SUBSTITUTE("Parts quote required - "&amp;D187&amp;" "&amp;E187,"%","%25"),"&amp;","%26")," ","%20"),"#","%23"),CHAR(10),"%0A")&amp;"&amp;body="&amp;SUBSTITUTE(SUBSTITUTE(SUBSTITUTE(SUBSTITUTE(SUBSTITUTE("Ref: "&amp;A187&amp;CHAR(10)&amp;"Customer: "&amp;D187&amp;"  "&amp;E187&amp;CHAR(10)&amp;"Phone: "&amp;F187&amp;CHAR(10)&amp;"Email: "&amp;G187&amp;CHAR(10)&amp;"Prefers: "&amp;H187&amp;CHAR(10)&amp;"Enquiry: "&amp;LEFT(I187,600)&amp;CHAR(10)&amp;CHAR(10)&amp;"Sent from the Preston Mazda enquiry log.","%","%25"),"&amp;","%26")," ","%20"),"#","%23"),CHAR(10),"%0A"),"✉ Email parts"),"")</f>
        <v/>
      </c>
      <c r="U187" s="18" t="str">
        <f aca="false">IF(AND(N187="Yes",O187&lt;&gt;"Yes"),HYPERLINK("mailto:"&amp;Settings!$B$6&amp;"?subject="&amp;SUBSTITUTE(SUBSTITUTE(SUBSTITUTE(SUBSTITUTE(SUBSTITUTE("Customer contact required - "&amp;D187&amp;" "&amp;E187,"%","%25"),"&amp;","%26")," ","%20"),"#","%23"),CHAR(10),"%0A")&amp;"&amp;body="&amp;SUBSTITUTE(SUBSTITUTE(SUBSTITUTE(SUBSTITUTE(SUBSTITUTE("Ref: "&amp;A187&amp;CHAR(10)&amp;"Customer: "&amp;D187&amp;"  "&amp;E187&amp;CHAR(10)&amp;"Phone: "&amp;F187&amp;CHAR(10)&amp;"Email: "&amp;G187&amp;CHAR(10)&amp;"Prefers: "&amp;H187&amp;CHAR(10)&amp;"Enquiry: "&amp;LEFT(I187,600)&amp;CHAR(10)&amp;CHAR(10)&amp;"Sent from the Preston Mazda enquiry log.","%","%25"),"&amp;","%26")," ","%20"),"#","%23"),CHAR(10),"%0A"),"✉ Email advisors"),"")</f>
        <v/>
      </c>
      <c r="V187" s="18" t="str">
        <f aca="false">IF(OR(M187="",IFERROR(INDEX(Staff!$B$4:$B$33,MATCH(M187,Staff!$A$4:$A$33,0)),"")=""),"",HYPERLINK("mailto:"&amp;IFERROR(INDEX(Staff!$B$4:$B$33,MATCH(M187,Staff!$A$4:$A$33,0)),"")&amp;"?subject="&amp;SUBSTITUTE(SUBSTITUTE(SUBSTITUTE(SUBSTITUTE(SUBSTITUTE("Enquiry "&amp;A187&amp;" allocated to you - "&amp;D187,"%","%25"),"&amp;","%26")," ","%20"),"#","%23"),CHAR(10),"%0A")&amp;"&amp;body="&amp;SUBSTITUTE(SUBSTITUTE(SUBSTITUTE(SUBSTITUTE(SUBSTITUTE("Ref: "&amp;A187&amp;CHAR(10)&amp;"Customer: "&amp;D187&amp;"  "&amp;E187&amp;CHAR(10)&amp;"Phone: "&amp;F187&amp;CHAR(10)&amp;"Email: "&amp;G187&amp;CHAR(10)&amp;"Prefers: "&amp;H187&amp;CHAR(10)&amp;"Enquiry: "&amp;LEFT(I187,600)&amp;CHAR(10)&amp;CHAR(10)&amp;"Sent from the Preston Mazda enquiry log.","%","%25"),"&amp;","%26")," ","%20"),"#","%23"),CHAR(10),"%0A"),"✉ Email "&amp;M187))</f>
        <v/>
      </c>
      <c r="W187" s="18" t="str">
        <f aca="false">IF(OR(P187="",IFERROR(INDEX(Staff!$E$4:$E$33,MATCH(P187,Staff!$D$4:$D$33,0)),"")=""),"",HYPERLINK("mailto:"&amp;IFERROR(INDEX(Staff!$E$4:$E$33,MATCH(P187,Staff!$D$4:$D$33,0)),"")&amp;"?subject="&amp;SUBSTITUTE(SUBSTITUTE(SUBSTITUTE(SUBSTITUTE(SUBSTITUTE("Parts quote "&amp;A187&amp;" allocated to you - "&amp;D187,"%","%25"),"&amp;","%26")," ","%20"),"#","%23"),CHAR(10),"%0A")&amp;"&amp;body="&amp;SUBSTITUTE(SUBSTITUTE(SUBSTITUTE(SUBSTITUTE(SUBSTITUTE("Ref: "&amp;A187&amp;CHAR(10)&amp;"Customer: "&amp;D187&amp;"  "&amp;E187&amp;CHAR(10)&amp;"Phone: "&amp;F187&amp;CHAR(10)&amp;"Email: "&amp;G187&amp;CHAR(10)&amp;"Prefers: "&amp;H187&amp;CHAR(10)&amp;"Enquiry: "&amp;LEFT(I187,600)&amp;CHAR(10)&amp;CHAR(10)&amp;"Sent from the Preston Mazda enquiry log.","%","%25"),"&amp;","%26")," ","%20"),"#","%23"),CHAR(10),"%0A"),"✉ Email "&amp;P187))</f>
        <v/>
      </c>
    </row>
    <row r="188" customFormat="false" ht="15" hidden="false" customHeight="false" outlineLevel="0" collapsed="false">
      <c r="A188" s="10" t="str">
        <f aca="false">IF(D188="","","E-"&amp;TEXT(ROW()-3,"0000"))</f>
        <v/>
      </c>
      <c r="B188" s="11"/>
      <c r="C188" s="12"/>
      <c r="D188" s="13"/>
      <c r="E188" s="14"/>
      <c r="F188" s="12"/>
      <c r="G188" s="12"/>
      <c r="H188" s="15"/>
      <c r="I188" s="16"/>
      <c r="J188" s="17" t="str">
        <f aca="false">IF(D188="","",HYPERLINK(Settings!$B$7&amp;A188&amp;".pdf","Open "&amp;A188&amp;".pdf"))</f>
        <v/>
      </c>
      <c r="K188" s="16"/>
      <c r="L188" s="12"/>
      <c r="M188" s="12"/>
      <c r="N188" s="15"/>
      <c r="O188" s="15"/>
      <c r="P188" s="12"/>
      <c r="Q188" s="15"/>
      <c r="R188" s="15"/>
      <c r="S188" s="15" t="str">
        <f aca="false">IF(D188="","",IF(AND(O188="Yes",OR(Q188&lt;&gt;"Yes",R188="Yes")),"Complete","Open"))</f>
        <v/>
      </c>
      <c r="T188" s="18" t="str">
        <f aca="false">IF(AND(Q188="Yes",R188&lt;&gt;"Yes"),HYPERLINK("mailto:"&amp;Settings!$B$5&amp;"?subject="&amp;SUBSTITUTE(SUBSTITUTE(SUBSTITUTE(SUBSTITUTE(SUBSTITUTE("Parts quote required - "&amp;D188&amp;" "&amp;E188,"%","%25"),"&amp;","%26")," ","%20"),"#","%23"),CHAR(10),"%0A")&amp;"&amp;body="&amp;SUBSTITUTE(SUBSTITUTE(SUBSTITUTE(SUBSTITUTE(SUBSTITUTE("Ref: "&amp;A188&amp;CHAR(10)&amp;"Customer: "&amp;D188&amp;"  "&amp;E188&amp;CHAR(10)&amp;"Phone: "&amp;F188&amp;CHAR(10)&amp;"Email: "&amp;G188&amp;CHAR(10)&amp;"Prefers: "&amp;H188&amp;CHAR(10)&amp;"Enquiry: "&amp;LEFT(I188,600)&amp;CHAR(10)&amp;CHAR(10)&amp;"Sent from the Preston Mazda enquiry log.","%","%25"),"&amp;","%26")," ","%20"),"#","%23"),CHAR(10),"%0A"),"✉ Email parts"),"")</f>
        <v/>
      </c>
      <c r="U188" s="18" t="str">
        <f aca="false">IF(AND(N188="Yes",O188&lt;&gt;"Yes"),HYPERLINK("mailto:"&amp;Settings!$B$6&amp;"?subject="&amp;SUBSTITUTE(SUBSTITUTE(SUBSTITUTE(SUBSTITUTE(SUBSTITUTE("Customer contact required - "&amp;D188&amp;" "&amp;E188,"%","%25"),"&amp;","%26")," ","%20"),"#","%23"),CHAR(10),"%0A")&amp;"&amp;body="&amp;SUBSTITUTE(SUBSTITUTE(SUBSTITUTE(SUBSTITUTE(SUBSTITUTE("Ref: "&amp;A188&amp;CHAR(10)&amp;"Customer: "&amp;D188&amp;"  "&amp;E188&amp;CHAR(10)&amp;"Phone: "&amp;F188&amp;CHAR(10)&amp;"Email: "&amp;G188&amp;CHAR(10)&amp;"Prefers: "&amp;H188&amp;CHAR(10)&amp;"Enquiry: "&amp;LEFT(I188,600)&amp;CHAR(10)&amp;CHAR(10)&amp;"Sent from the Preston Mazda enquiry log.","%","%25"),"&amp;","%26")," ","%20"),"#","%23"),CHAR(10),"%0A"),"✉ Email advisors"),"")</f>
        <v/>
      </c>
      <c r="V188" s="18" t="str">
        <f aca="false">IF(OR(M188="",IFERROR(INDEX(Staff!$B$4:$B$33,MATCH(M188,Staff!$A$4:$A$33,0)),"")=""),"",HYPERLINK("mailto:"&amp;IFERROR(INDEX(Staff!$B$4:$B$33,MATCH(M188,Staff!$A$4:$A$33,0)),"")&amp;"?subject="&amp;SUBSTITUTE(SUBSTITUTE(SUBSTITUTE(SUBSTITUTE(SUBSTITUTE("Enquiry "&amp;A188&amp;" allocated to you - "&amp;D188,"%","%25"),"&amp;","%26")," ","%20"),"#","%23"),CHAR(10),"%0A")&amp;"&amp;body="&amp;SUBSTITUTE(SUBSTITUTE(SUBSTITUTE(SUBSTITUTE(SUBSTITUTE("Ref: "&amp;A188&amp;CHAR(10)&amp;"Customer: "&amp;D188&amp;"  "&amp;E188&amp;CHAR(10)&amp;"Phone: "&amp;F188&amp;CHAR(10)&amp;"Email: "&amp;G188&amp;CHAR(10)&amp;"Prefers: "&amp;H188&amp;CHAR(10)&amp;"Enquiry: "&amp;LEFT(I188,600)&amp;CHAR(10)&amp;CHAR(10)&amp;"Sent from the Preston Mazda enquiry log.","%","%25"),"&amp;","%26")," ","%20"),"#","%23"),CHAR(10),"%0A"),"✉ Email "&amp;M188))</f>
        <v/>
      </c>
      <c r="W188" s="18" t="str">
        <f aca="false">IF(OR(P188="",IFERROR(INDEX(Staff!$E$4:$E$33,MATCH(P188,Staff!$D$4:$D$33,0)),"")=""),"",HYPERLINK("mailto:"&amp;IFERROR(INDEX(Staff!$E$4:$E$33,MATCH(P188,Staff!$D$4:$D$33,0)),"")&amp;"?subject="&amp;SUBSTITUTE(SUBSTITUTE(SUBSTITUTE(SUBSTITUTE(SUBSTITUTE("Parts quote "&amp;A188&amp;" allocated to you - "&amp;D188,"%","%25"),"&amp;","%26")," ","%20"),"#","%23"),CHAR(10),"%0A")&amp;"&amp;body="&amp;SUBSTITUTE(SUBSTITUTE(SUBSTITUTE(SUBSTITUTE(SUBSTITUTE("Ref: "&amp;A188&amp;CHAR(10)&amp;"Customer: "&amp;D188&amp;"  "&amp;E188&amp;CHAR(10)&amp;"Phone: "&amp;F188&amp;CHAR(10)&amp;"Email: "&amp;G188&amp;CHAR(10)&amp;"Prefers: "&amp;H188&amp;CHAR(10)&amp;"Enquiry: "&amp;LEFT(I188,600)&amp;CHAR(10)&amp;CHAR(10)&amp;"Sent from the Preston Mazda enquiry log.","%","%25"),"&amp;","%26")," ","%20"),"#","%23"),CHAR(10),"%0A"),"✉ Email "&amp;P188))</f>
        <v/>
      </c>
    </row>
    <row r="189" customFormat="false" ht="15" hidden="false" customHeight="false" outlineLevel="0" collapsed="false">
      <c r="A189" s="10" t="str">
        <f aca="false">IF(D189="","","E-"&amp;TEXT(ROW()-3,"0000"))</f>
        <v/>
      </c>
      <c r="B189" s="11"/>
      <c r="C189" s="12"/>
      <c r="D189" s="13"/>
      <c r="E189" s="14"/>
      <c r="F189" s="12"/>
      <c r="G189" s="12"/>
      <c r="H189" s="15"/>
      <c r="I189" s="16"/>
      <c r="J189" s="17" t="str">
        <f aca="false">IF(D189="","",HYPERLINK(Settings!$B$7&amp;A189&amp;".pdf","Open "&amp;A189&amp;".pdf"))</f>
        <v/>
      </c>
      <c r="K189" s="16"/>
      <c r="L189" s="12"/>
      <c r="M189" s="12"/>
      <c r="N189" s="15"/>
      <c r="O189" s="15"/>
      <c r="P189" s="12"/>
      <c r="Q189" s="15"/>
      <c r="R189" s="15"/>
      <c r="S189" s="15" t="str">
        <f aca="false">IF(D189="","",IF(AND(O189="Yes",OR(Q189&lt;&gt;"Yes",R189="Yes")),"Complete","Open"))</f>
        <v/>
      </c>
      <c r="T189" s="18" t="str">
        <f aca="false">IF(AND(Q189="Yes",R189&lt;&gt;"Yes"),HYPERLINK("mailto:"&amp;Settings!$B$5&amp;"?subject="&amp;SUBSTITUTE(SUBSTITUTE(SUBSTITUTE(SUBSTITUTE(SUBSTITUTE("Parts quote required - "&amp;D189&amp;" "&amp;E189,"%","%25"),"&amp;","%26")," ","%20"),"#","%23"),CHAR(10),"%0A")&amp;"&amp;body="&amp;SUBSTITUTE(SUBSTITUTE(SUBSTITUTE(SUBSTITUTE(SUBSTITUTE("Ref: "&amp;A189&amp;CHAR(10)&amp;"Customer: "&amp;D189&amp;"  "&amp;E189&amp;CHAR(10)&amp;"Phone: "&amp;F189&amp;CHAR(10)&amp;"Email: "&amp;G189&amp;CHAR(10)&amp;"Prefers: "&amp;H189&amp;CHAR(10)&amp;"Enquiry: "&amp;LEFT(I189,600)&amp;CHAR(10)&amp;CHAR(10)&amp;"Sent from the Preston Mazda enquiry log.","%","%25"),"&amp;","%26")," ","%20"),"#","%23"),CHAR(10),"%0A"),"✉ Email parts"),"")</f>
        <v/>
      </c>
      <c r="U189" s="18" t="str">
        <f aca="false">IF(AND(N189="Yes",O189&lt;&gt;"Yes"),HYPERLINK("mailto:"&amp;Settings!$B$6&amp;"?subject="&amp;SUBSTITUTE(SUBSTITUTE(SUBSTITUTE(SUBSTITUTE(SUBSTITUTE("Customer contact required - "&amp;D189&amp;" "&amp;E189,"%","%25"),"&amp;","%26")," ","%20"),"#","%23"),CHAR(10),"%0A")&amp;"&amp;body="&amp;SUBSTITUTE(SUBSTITUTE(SUBSTITUTE(SUBSTITUTE(SUBSTITUTE("Ref: "&amp;A189&amp;CHAR(10)&amp;"Customer: "&amp;D189&amp;"  "&amp;E189&amp;CHAR(10)&amp;"Phone: "&amp;F189&amp;CHAR(10)&amp;"Email: "&amp;G189&amp;CHAR(10)&amp;"Prefers: "&amp;H189&amp;CHAR(10)&amp;"Enquiry: "&amp;LEFT(I189,600)&amp;CHAR(10)&amp;CHAR(10)&amp;"Sent from the Preston Mazda enquiry log.","%","%25"),"&amp;","%26")," ","%20"),"#","%23"),CHAR(10),"%0A"),"✉ Email advisors"),"")</f>
        <v/>
      </c>
      <c r="V189" s="18" t="str">
        <f aca="false">IF(OR(M189="",IFERROR(INDEX(Staff!$B$4:$B$33,MATCH(M189,Staff!$A$4:$A$33,0)),"")=""),"",HYPERLINK("mailto:"&amp;IFERROR(INDEX(Staff!$B$4:$B$33,MATCH(M189,Staff!$A$4:$A$33,0)),"")&amp;"?subject="&amp;SUBSTITUTE(SUBSTITUTE(SUBSTITUTE(SUBSTITUTE(SUBSTITUTE("Enquiry "&amp;A189&amp;" allocated to you - "&amp;D189,"%","%25"),"&amp;","%26")," ","%20"),"#","%23"),CHAR(10),"%0A")&amp;"&amp;body="&amp;SUBSTITUTE(SUBSTITUTE(SUBSTITUTE(SUBSTITUTE(SUBSTITUTE("Ref: "&amp;A189&amp;CHAR(10)&amp;"Customer: "&amp;D189&amp;"  "&amp;E189&amp;CHAR(10)&amp;"Phone: "&amp;F189&amp;CHAR(10)&amp;"Email: "&amp;G189&amp;CHAR(10)&amp;"Prefers: "&amp;H189&amp;CHAR(10)&amp;"Enquiry: "&amp;LEFT(I189,600)&amp;CHAR(10)&amp;CHAR(10)&amp;"Sent from the Preston Mazda enquiry log.","%","%25"),"&amp;","%26")," ","%20"),"#","%23"),CHAR(10),"%0A"),"✉ Email "&amp;M189))</f>
        <v/>
      </c>
      <c r="W189" s="18" t="str">
        <f aca="false">IF(OR(P189="",IFERROR(INDEX(Staff!$E$4:$E$33,MATCH(P189,Staff!$D$4:$D$33,0)),"")=""),"",HYPERLINK("mailto:"&amp;IFERROR(INDEX(Staff!$E$4:$E$33,MATCH(P189,Staff!$D$4:$D$33,0)),"")&amp;"?subject="&amp;SUBSTITUTE(SUBSTITUTE(SUBSTITUTE(SUBSTITUTE(SUBSTITUTE("Parts quote "&amp;A189&amp;" allocated to you - "&amp;D189,"%","%25"),"&amp;","%26")," ","%20"),"#","%23"),CHAR(10),"%0A")&amp;"&amp;body="&amp;SUBSTITUTE(SUBSTITUTE(SUBSTITUTE(SUBSTITUTE(SUBSTITUTE("Ref: "&amp;A189&amp;CHAR(10)&amp;"Customer: "&amp;D189&amp;"  "&amp;E189&amp;CHAR(10)&amp;"Phone: "&amp;F189&amp;CHAR(10)&amp;"Email: "&amp;G189&amp;CHAR(10)&amp;"Prefers: "&amp;H189&amp;CHAR(10)&amp;"Enquiry: "&amp;LEFT(I189,600)&amp;CHAR(10)&amp;CHAR(10)&amp;"Sent from the Preston Mazda enquiry log.","%","%25"),"&amp;","%26")," ","%20"),"#","%23"),CHAR(10),"%0A"),"✉ Email "&amp;P189))</f>
        <v/>
      </c>
    </row>
    <row r="190" customFormat="false" ht="15" hidden="false" customHeight="false" outlineLevel="0" collapsed="false">
      <c r="A190" s="10" t="str">
        <f aca="false">IF(D190="","","E-"&amp;TEXT(ROW()-3,"0000"))</f>
        <v/>
      </c>
      <c r="B190" s="11"/>
      <c r="C190" s="12"/>
      <c r="D190" s="13"/>
      <c r="E190" s="14"/>
      <c r="F190" s="12"/>
      <c r="G190" s="12"/>
      <c r="H190" s="15"/>
      <c r="I190" s="16"/>
      <c r="J190" s="17" t="str">
        <f aca="false">IF(D190="","",HYPERLINK(Settings!$B$7&amp;A190&amp;".pdf","Open "&amp;A190&amp;".pdf"))</f>
        <v/>
      </c>
      <c r="K190" s="16"/>
      <c r="L190" s="12"/>
      <c r="M190" s="12"/>
      <c r="N190" s="15"/>
      <c r="O190" s="15"/>
      <c r="P190" s="12"/>
      <c r="Q190" s="15"/>
      <c r="R190" s="15"/>
      <c r="S190" s="15" t="str">
        <f aca="false">IF(D190="","",IF(AND(O190="Yes",OR(Q190&lt;&gt;"Yes",R190="Yes")),"Complete","Open"))</f>
        <v/>
      </c>
      <c r="T190" s="18" t="str">
        <f aca="false">IF(AND(Q190="Yes",R190&lt;&gt;"Yes"),HYPERLINK("mailto:"&amp;Settings!$B$5&amp;"?subject="&amp;SUBSTITUTE(SUBSTITUTE(SUBSTITUTE(SUBSTITUTE(SUBSTITUTE("Parts quote required - "&amp;D190&amp;" "&amp;E190,"%","%25"),"&amp;","%26")," ","%20"),"#","%23"),CHAR(10),"%0A")&amp;"&amp;body="&amp;SUBSTITUTE(SUBSTITUTE(SUBSTITUTE(SUBSTITUTE(SUBSTITUTE("Ref: "&amp;A190&amp;CHAR(10)&amp;"Customer: "&amp;D190&amp;"  "&amp;E190&amp;CHAR(10)&amp;"Phone: "&amp;F190&amp;CHAR(10)&amp;"Email: "&amp;G190&amp;CHAR(10)&amp;"Prefers: "&amp;H190&amp;CHAR(10)&amp;"Enquiry: "&amp;LEFT(I190,600)&amp;CHAR(10)&amp;CHAR(10)&amp;"Sent from the Preston Mazda enquiry log.","%","%25"),"&amp;","%26")," ","%20"),"#","%23"),CHAR(10),"%0A"),"✉ Email parts"),"")</f>
        <v/>
      </c>
      <c r="U190" s="18" t="str">
        <f aca="false">IF(AND(N190="Yes",O190&lt;&gt;"Yes"),HYPERLINK("mailto:"&amp;Settings!$B$6&amp;"?subject="&amp;SUBSTITUTE(SUBSTITUTE(SUBSTITUTE(SUBSTITUTE(SUBSTITUTE("Customer contact required - "&amp;D190&amp;" "&amp;E190,"%","%25"),"&amp;","%26")," ","%20"),"#","%23"),CHAR(10),"%0A")&amp;"&amp;body="&amp;SUBSTITUTE(SUBSTITUTE(SUBSTITUTE(SUBSTITUTE(SUBSTITUTE("Ref: "&amp;A190&amp;CHAR(10)&amp;"Customer: "&amp;D190&amp;"  "&amp;E190&amp;CHAR(10)&amp;"Phone: "&amp;F190&amp;CHAR(10)&amp;"Email: "&amp;G190&amp;CHAR(10)&amp;"Prefers: "&amp;H190&amp;CHAR(10)&amp;"Enquiry: "&amp;LEFT(I190,600)&amp;CHAR(10)&amp;CHAR(10)&amp;"Sent from the Preston Mazda enquiry log.","%","%25"),"&amp;","%26")," ","%20"),"#","%23"),CHAR(10),"%0A"),"✉ Email advisors"),"")</f>
        <v/>
      </c>
      <c r="V190" s="18" t="str">
        <f aca="false">IF(OR(M190="",IFERROR(INDEX(Staff!$B$4:$B$33,MATCH(M190,Staff!$A$4:$A$33,0)),"")=""),"",HYPERLINK("mailto:"&amp;IFERROR(INDEX(Staff!$B$4:$B$33,MATCH(M190,Staff!$A$4:$A$33,0)),"")&amp;"?subject="&amp;SUBSTITUTE(SUBSTITUTE(SUBSTITUTE(SUBSTITUTE(SUBSTITUTE("Enquiry "&amp;A190&amp;" allocated to you - "&amp;D190,"%","%25"),"&amp;","%26")," ","%20"),"#","%23"),CHAR(10),"%0A")&amp;"&amp;body="&amp;SUBSTITUTE(SUBSTITUTE(SUBSTITUTE(SUBSTITUTE(SUBSTITUTE("Ref: "&amp;A190&amp;CHAR(10)&amp;"Customer: "&amp;D190&amp;"  "&amp;E190&amp;CHAR(10)&amp;"Phone: "&amp;F190&amp;CHAR(10)&amp;"Email: "&amp;G190&amp;CHAR(10)&amp;"Prefers: "&amp;H190&amp;CHAR(10)&amp;"Enquiry: "&amp;LEFT(I190,600)&amp;CHAR(10)&amp;CHAR(10)&amp;"Sent from the Preston Mazda enquiry log.","%","%25"),"&amp;","%26")," ","%20"),"#","%23"),CHAR(10),"%0A"),"✉ Email "&amp;M190))</f>
        <v/>
      </c>
      <c r="W190" s="18" t="str">
        <f aca="false">IF(OR(P190="",IFERROR(INDEX(Staff!$E$4:$E$33,MATCH(P190,Staff!$D$4:$D$33,0)),"")=""),"",HYPERLINK("mailto:"&amp;IFERROR(INDEX(Staff!$E$4:$E$33,MATCH(P190,Staff!$D$4:$D$33,0)),"")&amp;"?subject="&amp;SUBSTITUTE(SUBSTITUTE(SUBSTITUTE(SUBSTITUTE(SUBSTITUTE("Parts quote "&amp;A190&amp;" allocated to you - "&amp;D190,"%","%25"),"&amp;","%26")," ","%20"),"#","%23"),CHAR(10),"%0A")&amp;"&amp;body="&amp;SUBSTITUTE(SUBSTITUTE(SUBSTITUTE(SUBSTITUTE(SUBSTITUTE("Ref: "&amp;A190&amp;CHAR(10)&amp;"Customer: "&amp;D190&amp;"  "&amp;E190&amp;CHAR(10)&amp;"Phone: "&amp;F190&amp;CHAR(10)&amp;"Email: "&amp;G190&amp;CHAR(10)&amp;"Prefers: "&amp;H190&amp;CHAR(10)&amp;"Enquiry: "&amp;LEFT(I190,600)&amp;CHAR(10)&amp;CHAR(10)&amp;"Sent from the Preston Mazda enquiry log.","%","%25"),"&amp;","%26")," ","%20"),"#","%23"),CHAR(10),"%0A"),"✉ Email "&amp;P190))</f>
        <v/>
      </c>
    </row>
    <row r="191" customFormat="false" ht="15" hidden="false" customHeight="false" outlineLevel="0" collapsed="false">
      <c r="A191" s="10" t="str">
        <f aca="false">IF(D191="","","E-"&amp;TEXT(ROW()-3,"0000"))</f>
        <v/>
      </c>
      <c r="B191" s="11"/>
      <c r="C191" s="12"/>
      <c r="D191" s="13"/>
      <c r="E191" s="14"/>
      <c r="F191" s="12"/>
      <c r="G191" s="12"/>
      <c r="H191" s="15"/>
      <c r="I191" s="16"/>
      <c r="J191" s="17" t="str">
        <f aca="false">IF(D191="","",HYPERLINK(Settings!$B$7&amp;A191&amp;".pdf","Open "&amp;A191&amp;".pdf"))</f>
        <v/>
      </c>
      <c r="K191" s="16"/>
      <c r="L191" s="12"/>
      <c r="M191" s="12"/>
      <c r="N191" s="15"/>
      <c r="O191" s="15"/>
      <c r="P191" s="12"/>
      <c r="Q191" s="15"/>
      <c r="R191" s="15"/>
      <c r="S191" s="15" t="str">
        <f aca="false">IF(D191="","",IF(AND(O191="Yes",OR(Q191&lt;&gt;"Yes",R191="Yes")),"Complete","Open"))</f>
        <v/>
      </c>
      <c r="T191" s="18" t="str">
        <f aca="false">IF(AND(Q191="Yes",R191&lt;&gt;"Yes"),HYPERLINK("mailto:"&amp;Settings!$B$5&amp;"?subject="&amp;SUBSTITUTE(SUBSTITUTE(SUBSTITUTE(SUBSTITUTE(SUBSTITUTE("Parts quote required - "&amp;D191&amp;" "&amp;E191,"%","%25"),"&amp;","%26")," ","%20"),"#","%23"),CHAR(10),"%0A")&amp;"&amp;body="&amp;SUBSTITUTE(SUBSTITUTE(SUBSTITUTE(SUBSTITUTE(SUBSTITUTE("Ref: "&amp;A191&amp;CHAR(10)&amp;"Customer: "&amp;D191&amp;"  "&amp;E191&amp;CHAR(10)&amp;"Phone: "&amp;F191&amp;CHAR(10)&amp;"Email: "&amp;G191&amp;CHAR(10)&amp;"Prefers: "&amp;H191&amp;CHAR(10)&amp;"Enquiry: "&amp;LEFT(I191,600)&amp;CHAR(10)&amp;CHAR(10)&amp;"Sent from the Preston Mazda enquiry log.","%","%25"),"&amp;","%26")," ","%20"),"#","%23"),CHAR(10),"%0A"),"✉ Email parts"),"")</f>
        <v/>
      </c>
      <c r="U191" s="18" t="str">
        <f aca="false">IF(AND(N191="Yes",O191&lt;&gt;"Yes"),HYPERLINK("mailto:"&amp;Settings!$B$6&amp;"?subject="&amp;SUBSTITUTE(SUBSTITUTE(SUBSTITUTE(SUBSTITUTE(SUBSTITUTE("Customer contact required - "&amp;D191&amp;" "&amp;E191,"%","%25"),"&amp;","%26")," ","%20"),"#","%23"),CHAR(10),"%0A")&amp;"&amp;body="&amp;SUBSTITUTE(SUBSTITUTE(SUBSTITUTE(SUBSTITUTE(SUBSTITUTE("Ref: "&amp;A191&amp;CHAR(10)&amp;"Customer: "&amp;D191&amp;"  "&amp;E191&amp;CHAR(10)&amp;"Phone: "&amp;F191&amp;CHAR(10)&amp;"Email: "&amp;G191&amp;CHAR(10)&amp;"Prefers: "&amp;H191&amp;CHAR(10)&amp;"Enquiry: "&amp;LEFT(I191,600)&amp;CHAR(10)&amp;CHAR(10)&amp;"Sent from the Preston Mazda enquiry log.","%","%25"),"&amp;","%26")," ","%20"),"#","%23"),CHAR(10),"%0A"),"✉ Email advisors"),"")</f>
        <v/>
      </c>
      <c r="V191" s="18" t="str">
        <f aca="false">IF(OR(M191="",IFERROR(INDEX(Staff!$B$4:$B$33,MATCH(M191,Staff!$A$4:$A$33,0)),"")=""),"",HYPERLINK("mailto:"&amp;IFERROR(INDEX(Staff!$B$4:$B$33,MATCH(M191,Staff!$A$4:$A$33,0)),"")&amp;"?subject="&amp;SUBSTITUTE(SUBSTITUTE(SUBSTITUTE(SUBSTITUTE(SUBSTITUTE("Enquiry "&amp;A191&amp;" allocated to you - "&amp;D191,"%","%25"),"&amp;","%26")," ","%20"),"#","%23"),CHAR(10),"%0A")&amp;"&amp;body="&amp;SUBSTITUTE(SUBSTITUTE(SUBSTITUTE(SUBSTITUTE(SUBSTITUTE("Ref: "&amp;A191&amp;CHAR(10)&amp;"Customer: "&amp;D191&amp;"  "&amp;E191&amp;CHAR(10)&amp;"Phone: "&amp;F191&amp;CHAR(10)&amp;"Email: "&amp;G191&amp;CHAR(10)&amp;"Prefers: "&amp;H191&amp;CHAR(10)&amp;"Enquiry: "&amp;LEFT(I191,600)&amp;CHAR(10)&amp;CHAR(10)&amp;"Sent from the Preston Mazda enquiry log.","%","%25"),"&amp;","%26")," ","%20"),"#","%23"),CHAR(10),"%0A"),"✉ Email "&amp;M191))</f>
        <v/>
      </c>
      <c r="W191" s="18" t="str">
        <f aca="false">IF(OR(P191="",IFERROR(INDEX(Staff!$E$4:$E$33,MATCH(P191,Staff!$D$4:$D$33,0)),"")=""),"",HYPERLINK("mailto:"&amp;IFERROR(INDEX(Staff!$E$4:$E$33,MATCH(P191,Staff!$D$4:$D$33,0)),"")&amp;"?subject="&amp;SUBSTITUTE(SUBSTITUTE(SUBSTITUTE(SUBSTITUTE(SUBSTITUTE("Parts quote "&amp;A191&amp;" allocated to you - "&amp;D191,"%","%25"),"&amp;","%26")," ","%20"),"#","%23"),CHAR(10),"%0A")&amp;"&amp;body="&amp;SUBSTITUTE(SUBSTITUTE(SUBSTITUTE(SUBSTITUTE(SUBSTITUTE("Ref: "&amp;A191&amp;CHAR(10)&amp;"Customer: "&amp;D191&amp;"  "&amp;E191&amp;CHAR(10)&amp;"Phone: "&amp;F191&amp;CHAR(10)&amp;"Email: "&amp;G191&amp;CHAR(10)&amp;"Prefers: "&amp;H191&amp;CHAR(10)&amp;"Enquiry: "&amp;LEFT(I191,600)&amp;CHAR(10)&amp;CHAR(10)&amp;"Sent from the Preston Mazda enquiry log.","%","%25"),"&amp;","%26")," ","%20"),"#","%23"),CHAR(10),"%0A"),"✉ Email "&amp;P191))</f>
        <v/>
      </c>
    </row>
    <row r="192" customFormat="false" ht="15" hidden="false" customHeight="false" outlineLevel="0" collapsed="false">
      <c r="A192" s="10" t="str">
        <f aca="false">IF(D192="","","E-"&amp;TEXT(ROW()-3,"0000"))</f>
        <v/>
      </c>
      <c r="B192" s="11"/>
      <c r="C192" s="12"/>
      <c r="D192" s="13"/>
      <c r="E192" s="14"/>
      <c r="F192" s="12"/>
      <c r="G192" s="12"/>
      <c r="H192" s="15"/>
      <c r="I192" s="16"/>
      <c r="J192" s="17" t="str">
        <f aca="false">IF(D192="","",HYPERLINK(Settings!$B$7&amp;A192&amp;".pdf","Open "&amp;A192&amp;".pdf"))</f>
        <v/>
      </c>
      <c r="K192" s="16"/>
      <c r="L192" s="12"/>
      <c r="M192" s="12"/>
      <c r="N192" s="15"/>
      <c r="O192" s="15"/>
      <c r="P192" s="12"/>
      <c r="Q192" s="15"/>
      <c r="R192" s="15"/>
      <c r="S192" s="15" t="str">
        <f aca="false">IF(D192="","",IF(AND(O192="Yes",OR(Q192&lt;&gt;"Yes",R192="Yes")),"Complete","Open"))</f>
        <v/>
      </c>
      <c r="T192" s="18" t="str">
        <f aca="false">IF(AND(Q192="Yes",R192&lt;&gt;"Yes"),HYPERLINK("mailto:"&amp;Settings!$B$5&amp;"?subject="&amp;SUBSTITUTE(SUBSTITUTE(SUBSTITUTE(SUBSTITUTE(SUBSTITUTE("Parts quote required - "&amp;D192&amp;" "&amp;E192,"%","%25"),"&amp;","%26")," ","%20"),"#","%23"),CHAR(10),"%0A")&amp;"&amp;body="&amp;SUBSTITUTE(SUBSTITUTE(SUBSTITUTE(SUBSTITUTE(SUBSTITUTE("Ref: "&amp;A192&amp;CHAR(10)&amp;"Customer: "&amp;D192&amp;"  "&amp;E192&amp;CHAR(10)&amp;"Phone: "&amp;F192&amp;CHAR(10)&amp;"Email: "&amp;G192&amp;CHAR(10)&amp;"Prefers: "&amp;H192&amp;CHAR(10)&amp;"Enquiry: "&amp;LEFT(I192,600)&amp;CHAR(10)&amp;CHAR(10)&amp;"Sent from the Preston Mazda enquiry log.","%","%25"),"&amp;","%26")," ","%20"),"#","%23"),CHAR(10),"%0A"),"✉ Email parts"),"")</f>
        <v/>
      </c>
      <c r="U192" s="18" t="str">
        <f aca="false">IF(AND(N192="Yes",O192&lt;&gt;"Yes"),HYPERLINK("mailto:"&amp;Settings!$B$6&amp;"?subject="&amp;SUBSTITUTE(SUBSTITUTE(SUBSTITUTE(SUBSTITUTE(SUBSTITUTE("Customer contact required - "&amp;D192&amp;" "&amp;E192,"%","%25"),"&amp;","%26")," ","%20"),"#","%23"),CHAR(10),"%0A")&amp;"&amp;body="&amp;SUBSTITUTE(SUBSTITUTE(SUBSTITUTE(SUBSTITUTE(SUBSTITUTE("Ref: "&amp;A192&amp;CHAR(10)&amp;"Customer: "&amp;D192&amp;"  "&amp;E192&amp;CHAR(10)&amp;"Phone: "&amp;F192&amp;CHAR(10)&amp;"Email: "&amp;G192&amp;CHAR(10)&amp;"Prefers: "&amp;H192&amp;CHAR(10)&amp;"Enquiry: "&amp;LEFT(I192,600)&amp;CHAR(10)&amp;CHAR(10)&amp;"Sent from the Preston Mazda enquiry log.","%","%25"),"&amp;","%26")," ","%20"),"#","%23"),CHAR(10),"%0A"),"✉ Email advisors"),"")</f>
        <v/>
      </c>
      <c r="V192" s="18" t="str">
        <f aca="false">IF(OR(M192="",IFERROR(INDEX(Staff!$B$4:$B$33,MATCH(M192,Staff!$A$4:$A$33,0)),"")=""),"",HYPERLINK("mailto:"&amp;IFERROR(INDEX(Staff!$B$4:$B$33,MATCH(M192,Staff!$A$4:$A$33,0)),"")&amp;"?subject="&amp;SUBSTITUTE(SUBSTITUTE(SUBSTITUTE(SUBSTITUTE(SUBSTITUTE("Enquiry "&amp;A192&amp;" allocated to you - "&amp;D192,"%","%25"),"&amp;","%26")," ","%20"),"#","%23"),CHAR(10),"%0A")&amp;"&amp;body="&amp;SUBSTITUTE(SUBSTITUTE(SUBSTITUTE(SUBSTITUTE(SUBSTITUTE("Ref: "&amp;A192&amp;CHAR(10)&amp;"Customer: "&amp;D192&amp;"  "&amp;E192&amp;CHAR(10)&amp;"Phone: "&amp;F192&amp;CHAR(10)&amp;"Email: "&amp;G192&amp;CHAR(10)&amp;"Prefers: "&amp;H192&amp;CHAR(10)&amp;"Enquiry: "&amp;LEFT(I192,600)&amp;CHAR(10)&amp;CHAR(10)&amp;"Sent from the Preston Mazda enquiry log.","%","%25"),"&amp;","%26")," ","%20"),"#","%23"),CHAR(10),"%0A"),"✉ Email "&amp;M192))</f>
        <v/>
      </c>
      <c r="W192" s="18" t="str">
        <f aca="false">IF(OR(P192="",IFERROR(INDEX(Staff!$E$4:$E$33,MATCH(P192,Staff!$D$4:$D$33,0)),"")=""),"",HYPERLINK("mailto:"&amp;IFERROR(INDEX(Staff!$E$4:$E$33,MATCH(P192,Staff!$D$4:$D$33,0)),"")&amp;"?subject="&amp;SUBSTITUTE(SUBSTITUTE(SUBSTITUTE(SUBSTITUTE(SUBSTITUTE("Parts quote "&amp;A192&amp;" allocated to you - "&amp;D192,"%","%25"),"&amp;","%26")," ","%20"),"#","%23"),CHAR(10),"%0A")&amp;"&amp;body="&amp;SUBSTITUTE(SUBSTITUTE(SUBSTITUTE(SUBSTITUTE(SUBSTITUTE("Ref: "&amp;A192&amp;CHAR(10)&amp;"Customer: "&amp;D192&amp;"  "&amp;E192&amp;CHAR(10)&amp;"Phone: "&amp;F192&amp;CHAR(10)&amp;"Email: "&amp;G192&amp;CHAR(10)&amp;"Prefers: "&amp;H192&amp;CHAR(10)&amp;"Enquiry: "&amp;LEFT(I192,600)&amp;CHAR(10)&amp;CHAR(10)&amp;"Sent from the Preston Mazda enquiry log.","%","%25"),"&amp;","%26")," ","%20"),"#","%23"),CHAR(10),"%0A"),"✉ Email "&amp;P192))</f>
        <v/>
      </c>
    </row>
    <row r="193" customFormat="false" ht="15" hidden="false" customHeight="false" outlineLevel="0" collapsed="false">
      <c r="A193" s="10" t="str">
        <f aca="false">IF(D193="","","E-"&amp;TEXT(ROW()-3,"0000"))</f>
        <v/>
      </c>
      <c r="B193" s="11"/>
      <c r="C193" s="12"/>
      <c r="D193" s="13"/>
      <c r="E193" s="14"/>
      <c r="F193" s="12"/>
      <c r="G193" s="12"/>
      <c r="H193" s="15"/>
      <c r="I193" s="16"/>
      <c r="J193" s="17" t="str">
        <f aca="false">IF(D193="","",HYPERLINK(Settings!$B$7&amp;A193&amp;".pdf","Open "&amp;A193&amp;".pdf"))</f>
        <v/>
      </c>
      <c r="K193" s="16"/>
      <c r="L193" s="12"/>
      <c r="M193" s="12"/>
      <c r="N193" s="15"/>
      <c r="O193" s="15"/>
      <c r="P193" s="12"/>
      <c r="Q193" s="15"/>
      <c r="R193" s="15"/>
      <c r="S193" s="15" t="str">
        <f aca="false">IF(D193="","",IF(AND(O193="Yes",OR(Q193&lt;&gt;"Yes",R193="Yes")),"Complete","Open"))</f>
        <v/>
      </c>
      <c r="T193" s="18" t="str">
        <f aca="false">IF(AND(Q193="Yes",R193&lt;&gt;"Yes"),HYPERLINK("mailto:"&amp;Settings!$B$5&amp;"?subject="&amp;SUBSTITUTE(SUBSTITUTE(SUBSTITUTE(SUBSTITUTE(SUBSTITUTE("Parts quote required - "&amp;D193&amp;" "&amp;E193,"%","%25"),"&amp;","%26")," ","%20"),"#","%23"),CHAR(10),"%0A")&amp;"&amp;body="&amp;SUBSTITUTE(SUBSTITUTE(SUBSTITUTE(SUBSTITUTE(SUBSTITUTE("Ref: "&amp;A193&amp;CHAR(10)&amp;"Customer: "&amp;D193&amp;"  "&amp;E193&amp;CHAR(10)&amp;"Phone: "&amp;F193&amp;CHAR(10)&amp;"Email: "&amp;G193&amp;CHAR(10)&amp;"Prefers: "&amp;H193&amp;CHAR(10)&amp;"Enquiry: "&amp;LEFT(I193,600)&amp;CHAR(10)&amp;CHAR(10)&amp;"Sent from the Preston Mazda enquiry log.","%","%25"),"&amp;","%26")," ","%20"),"#","%23"),CHAR(10),"%0A"),"✉ Email parts"),"")</f>
        <v/>
      </c>
      <c r="U193" s="18" t="str">
        <f aca="false">IF(AND(N193="Yes",O193&lt;&gt;"Yes"),HYPERLINK("mailto:"&amp;Settings!$B$6&amp;"?subject="&amp;SUBSTITUTE(SUBSTITUTE(SUBSTITUTE(SUBSTITUTE(SUBSTITUTE("Customer contact required - "&amp;D193&amp;" "&amp;E193,"%","%25"),"&amp;","%26")," ","%20"),"#","%23"),CHAR(10),"%0A")&amp;"&amp;body="&amp;SUBSTITUTE(SUBSTITUTE(SUBSTITUTE(SUBSTITUTE(SUBSTITUTE("Ref: "&amp;A193&amp;CHAR(10)&amp;"Customer: "&amp;D193&amp;"  "&amp;E193&amp;CHAR(10)&amp;"Phone: "&amp;F193&amp;CHAR(10)&amp;"Email: "&amp;G193&amp;CHAR(10)&amp;"Prefers: "&amp;H193&amp;CHAR(10)&amp;"Enquiry: "&amp;LEFT(I193,600)&amp;CHAR(10)&amp;CHAR(10)&amp;"Sent from the Preston Mazda enquiry log.","%","%25"),"&amp;","%26")," ","%20"),"#","%23"),CHAR(10),"%0A"),"✉ Email advisors"),"")</f>
        <v/>
      </c>
      <c r="V193" s="18" t="str">
        <f aca="false">IF(OR(M193="",IFERROR(INDEX(Staff!$B$4:$B$33,MATCH(M193,Staff!$A$4:$A$33,0)),"")=""),"",HYPERLINK("mailto:"&amp;IFERROR(INDEX(Staff!$B$4:$B$33,MATCH(M193,Staff!$A$4:$A$33,0)),"")&amp;"?subject="&amp;SUBSTITUTE(SUBSTITUTE(SUBSTITUTE(SUBSTITUTE(SUBSTITUTE("Enquiry "&amp;A193&amp;" allocated to you - "&amp;D193,"%","%25"),"&amp;","%26")," ","%20"),"#","%23"),CHAR(10),"%0A")&amp;"&amp;body="&amp;SUBSTITUTE(SUBSTITUTE(SUBSTITUTE(SUBSTITUTE(SUBSTITUTE("Ref: "&amp;A193&amp;CHAR(10)&amp;"Customer: "&amp;D193&amp;"  "&amp;E193&amp;CHAR(10)&amp;"Phone: "&amp;F193&amp;CHAR(10)&amp;"Email: "&amp;G193&amp;CHAR(10)&amp;"Prefers: "&amp;H193&amp;CHAR(10)&amp;"Enquiry: "&amp;LEFT(I193,600)&amp;CHAR(10)&amp;CHAR(10)&amp;"Sent from the Preston Mazda enquiry log.","%","%25"),"&amp;","%26")," ","%20"),"#","%23"),CHAR(10),"%0A"),"✉ Email "&amp;M193))</f>
        <v/>
      </c>
      <c r="W193" s="18" t="str">
        <f aca="false">IF(OR(P193="",IFERROR(INDEX(Staff!$E$4:$E$33,MATCH(P193,Staff!$D$4:$D$33,0)),"")=""),"",HYPERLINK("mailto:"&amp;IFERROR(INDEX(Staff!$E$4:$E$33,MATCH(P193,Staff!$D$4:$D$33,0)),"")&amp;"?subject="&amp;SUBSTITUTE(SUBSTITUTE(SUBSTITUTE(SUBSTITUTE(SUBSTITUTE("Parts quote "&amp;A193&amp;" allocated to you - "&amp;D193,"%","%25"),"&amp;","%26")," ","%20"),"#","%23"),CHAR(10),"%0A")&amp;"&amp;body="&amp;SUBSTITUTE(SUBSTITUTE(SUBSTITUTE(SUBSTITUTE(SUBSTITUTE("Ref: "&amp;A193&amp;CHAR(10)&amp;"Customer: "&amp;D193&amp;"  "&amp;E193&amp;CHAR(10)&amp;"Phone: "&amp;F193&amp;CHAR(10)&amp;"Email: "&amp;G193&amp;CHAR(10)&amp;"Prefers: "&amp;H193&amp;CHAR(10)&amp;"Enquiry: "&amp;LEFT(I193,600)&amp;CHAR(10)&amp;CHAR(10)&amp;"Sent from the Preston Mazda enquiry log.","%","%25"),"&amp;","%26")," ","%20"),"#","%23"),CHAR(10),"%0A"),"✉ Email "&amp;P193))</f>
        <v/>
      </c>
    </row>
    <row r="194" customFormat="false" ht="15" hidden="false" customHeight="false" outlineLevel="0" collapsed="false">
      <c r="A194" s="10" t="str">
        <f aca="false">IF(D194="","","E-"&amp;TEXT(ROW()-3,"0000"))</f>
        <v/>
      </c>
      <c r="B194" s="11"/>
      <c r="C194" s="12"/>
      <c r="D194" s="13"/>
      <c r="E194" s="14"/>
      <c r="F194" s="12"/>
      <c r="G194" s="12"/>
      <c r="H194" s="15"/>
      <c r="I194" s="16"/>
      <c r="J194" s="17" t="str">
        <f aca="false">IF(D194="","",HYPERLINK(Settings!$B$7&amp;A194&amp;".pdf","Open "&amp;A194&amp;".pdf"))</f>
        <v/>
      </c>
      <c r="K194" s="16"/>
      <c r="L194" s="12"/>
      <c r="M194" s="12"/>
      <c r="N194" s="15"/>
      <c r="O194" s="15"/>
      <c r="P194" s="12"/>
      <c r="Q194" s="15"/>
      <c r="R194" s="15"/>
      <c r="S194" s="15" t="str">
        <f aca="false">IF(D194="","",IF(AND(O194="Yes",OR(Q194&lt;&gt;"Yes",R194="Yes")),"Complete","Open"))</f>
        <v/>
      </c>
      <c r="T194" s="18" t="str">
        <f aca="false">IF(AND(Q194="Yes",R194&lt;&gt;"Yes"),HYPERLINK("mailto:"&amp;Settings!$B$5&amp;"?subject="&amp;SUBSTITUTE(SUBSTITUTE(SUBSTITUTE(SUBSTITUTE(SUBSTITUTE("Parts quote required - "&amp;D194&amp;" "&amp;E194,"%","%25"),"&amp;","%26")," ","%20"),"#","%23"),CHAR(10),"%0A")&amp;"&amp;body="&amp;SUBSTITUTE(SUBSTITUTE(SUBSTITUTE(SUBSTITUTE(SUBSTITUTE("Ref: "&amp;A194&amp;CHAR(10)&amp;"Customer: "&amp;D194&amp;"  "&amp;E194&amp;CHAR(10)&amp;"Phone: "&amp;F194&amp;CHAR(10)&amp;"Email: "&amp;G194&amp;CHAR(10)&amp;"Prefers: "&amp;H194&amp;CHAR(10)&amp;"Enquiry: "&amp;LEFT(I194,600)&amp;CHAR(10)&amp;CHAR(10)&amp;"Sent from the Preston Mazda enquiry log.","%","%25"),"&amp;","%26")," ","%20"),"#","%23"),CHAR(10),"%0A"),"✉ Email parts"),"")</f>
        <v/>
      </c>
      <c r="U194" s="18" t="str">
        <f aca="false">IF(AND(N194="Yes",O194&lt;&gt;"Yes"),HYPERLINK("mailto:"&amp;Settings!$B$6&amp;"?subject="&amp;SUBSTITUTE(SUBSTITUTE(SUBSTITUTE(SUBSTITUTE(SUBSTITUTE("Customer contact required - "&amp;D194&amp;" "&amp;E194,"%","%25"),"&amp;","%26")," ","%20"),"#","%23"),CHAR(10),"%0A")&amp;"&amp;body="&amp;SUBSTITUTE(SUBSTITUTE(SUBSTITUTE(SUBSTITUTE(SUBSTITUTE("Ref: "&amp;A194&amp;CHAR(10)&amp;"Customer: "&amp;D194&amp;"  "&amp;E194&amp;CHAR(10)&amp;"Phone: "&amp;F194&amp;CHAR(10)&amp;"Email: "&amp;G194&amp;CHAR(10)&amp;"Prefers: "&amp;H194&amp;CHAR(10)&amp;"Enquiry: "&amp;LEFT(I194,600)&amp;CHAR(10)&amp;CHAR(10)&amp;"Sent from the Preston Mazda enquiry log.","%","%25"),"&amp;","%26")," ","%20"),"#","%23"),CHAR(10),"%0A"),"✉ Email advisors"),"")</f>
        <v/>
      </c>
      <c r="V194" s="18" t="str">
        <f aca="false">IF(OR(M194="",IFERROR(INDEX(Staff!$B$4:$B$33,MATCH(M194,Staff!$A$4:$A$33,0)),"")=""),"",HYPERLINK("mailto:"&amp;IFERROR(INDEX(Staff!$B$4:$B$33,MATCH(M194,Staff!$A$4:$A$33,0)),"")&amp;"?subject="&amp;SUBSTITUTE(SUBSTITUTE(SUBSTITUTE(SUBSTITUTE(SUBSTITUTE("Enquiry "&amp;A194&amp;" allocated to you - "&amp;D194,"%","%25"),"&amp;","%26")," ","%20"),"#","%23"),CHAR(10),"%0A")&amp;"&amp;body="&amp;SUBSTITUTE(SUBSTITUTE(SUBSTITUTE(SUBSTITUTE(SUBSTITUTE("Ref: "&amp;A194&amp;CHAR(10)&amp;"Customer: "&amp;D194&amp;"  "&amp;E194&amp;CHAR(10)&amp;"Phone: "&amp;F194&amp;CHAR(10)&amp;"Email: "&amp;G194&amp;CHAR(10)&amp;"Prefers: "&amp;H194&amp;CHAR(10)&amp;"Enquiry: "&amp;LEFT(I194,600)&amp;CHAR(10)&amp;CHAR(10)&amp;"Sent from the Preston Mazda enquiry log.","%","%25"),"&amp;","%26")," ","%20"),"#","%23"),CHAR(10),"%0A"),"✉ Email "&amp;M194))</f>
        <v/>
      </c>
      <c r="W194" s="18" t="str">
        <f aca="false">IF(OR(P194="",IFERROR(INDEX(Staff!$E$4:$E$33,MATCH(P194,Staff!$D$4:$D$33,0)),"")=""),"",HYPERLINK("mailto:"&amp;IFERROR(INDEX(Staff!$E$4:$E$33,MATCH(P194,Staff!$D$4:$D$33,0)),"")&amp;"?subject="&amp;SUBSTITUTE(SUBSTITUTE(SUBSTITUTE(SUBSTITUTE(SUBSTITUTE("Parts quote "&amp;A194&amp;" allocated to you - "&amp;D194,"%","%25"),"&amp;","%26")," ","%20"),"#","%23"),CHAR(10),"%0A")&amp;"&amp;body="&amp;SUBSTITUTE(SUBSTITUTE(SUBSTITUTE(SUBSTITUTE(SUBSTITUTE("Ref: "&amp;A194&amp;CHAR(10)&amp;"Customer: "&amp;D194&amp;"  "&amp;E194&amp;CHAR(10)&amp;"Phone: "&amp;F194&amp;CHAR(10)&amp;"Email: "&amp;G194&amp;CHAR(10)&amp;"Prefers: "&amp;H194&amp;CHAR(10)&amp;"Enquiry: "&amp;LEFT(I194,600)&amp;CHAR(10)&amp;CHAR(10)&amp;"Sent from the Preston Mazda enquiry log.","%","%25"),"&amp;","%26")," ","%20"),"#","%23"),CHAR(10),"%0A"),"✉ Email "&amp;P194))</f>
        <v/>
      </c>
    </row>
    <row r="195" customFormat="false" ht="15" hidden="false" customHeight="false" outlineLevel="0" collapsed="false">
      <c r="A195" s="10" t="str">
        <f aca="false">IF(D195="","","E-"&amp;TEXT(ROW()-3,"0000"))</f>
        <v/>
      </c>
      <c r="B195" s="11"/>
      <c r="C195" s="12"/>
      <c r="D195" s="13"/>
      <c r="E195" s="14"/>
      <c r="F195" s="12"/>
      <c r="G195" s="12"/>
      <c r="H195" s="15"/>
      <c r="I195" s="16"/>
      <c r="J195" s="17" t="str">
        <f aca="false">IF(D195="","",HYPERLINK(Settings!$B$7&amp;A195&amp;".pdf","Open "&amp;A195&amp;".pdf"))</f>
        <v/>
      </c>
      <c r="K195" s="16"/>
      <c r="L195" s="12"/>
      <c r="M195" s="12"/>
      <c r="N195" s="15"/>
      <c r="O195" s="15"/>
      <c r="P195" s="12"/>
      <c r="Q195" s="15"/>
      <c r="R195" s="15"/>
      <c r="S195" s="15" t="str">
        <f aca="false">IF(D195="","",IF(AND(O195="Yes",OR(Q195&lt;&gt;"Yes",R195="Yes")),"Complete","Open"))</f>
        <v/>
      </c>
      <c r="T195" s="18" t="str">
        <f aca="false">IF(AND(Q195="Yes",R195&lt;&gt;"Yes"),HYPERLINK("mailto:"&amp;Settings!$B$5&amp;"?subject="&amp;SUBSTITUTE(SUBSTITUTE(SUBSTITUTE(SUBSTITUTE(SUBSTITUTE("Parts quote required - "&amp;D195&amp;" "&amp;E195,"%","%25"),"&amp;","%26")," ","%20"),"#","%23"),CHAR(10),"%0A")&amp;"&amp;body="&amp;SUBSTITUTE(SUBSTITUTE(SUBSTITUTE(SUBSTITUTE(SUBSTITUTE("Ref: "&amp;A195&amp;CHAR(10)&amp;"Customer: "&amp;D195&amp;"  "&amp;E195&amp;CHAR(10)&amp;"Phone: "&amp;F195&amp;CHAR(10)&amp;"Email: "&amp;G195&amp;CHAR(10)&amp;"Prefers: "&amp;H195&amp;CHAR(10)&amp;"Enquiry: "&amp;LEFT(I195,600)&amp;CHAR(10)&amp;CHAR(10)&amp;"Sent from the Preston Mazda enquiry log.","%","%25"),"&amp;","%26")," ","%20"),"#","%23"),CHAR(10),"%0A"),"✉ Email parts"),"")</f>
        <v/>
      </c>
      <c r="U195" s="18" t="str">
        <f aca="false">IF(AND(N195="Yes",O195&lt;&gt;"Yes"),HYPERLINK("mailto:"&amp;Settings!$B$6&amp;"?subject="&amp;SUBSTITUTE(SUBSTITUTE(SUBSTITUTE(SUBSTITUTE(SUBSTITUTE("Customer contact required - "&amp;D195&amp;" "&amp;E195,"%","%25"),"&amp;","%26")," ","%20"),"#","%23"),CHAR(10),"%0A")&amp;"&amp;body="&amp;SUBSTITUTE(SUBSTITUTE(SUBSTITUTE(SUBSTITUTE(SUBSTITUTE("Ref: "&amp;A195&amp;CHAR(10)&amp;"Customer: "&amp;D195&amp;"  "&amp;E195&amp;CHAR(10)&amp;"Phone: "&amp;F195&amp;CHAR(10)&amp;"Email: "&amp;G195&amp;CHAR(10)&amp;"Prefers: "&amp;H195&amp;CHAR(10)&amp;"Enquiry: "&amp;LEFT(I195,600)&amp;CHAR(10)&amp;CHAR(10)&amp;"Sent from the Preston Mazda enquiry log.","%","%25"),"&amp;","%26")," ","%20"),"#","%23"),CHAR(10),"%0A"),"✉ Email advisors"),"")</f>
        <v/>
      </c>
      <c r="V195" s="18" t="str">
        <f aca="false">IF(OR(M195="",IFERROR(INDEX(Staff!$B$4:$B$33,MATCH(M195,Staff!$A$4:$A$33,0)),"")=""),"",HYPERLINK("mailto:"&amp;IFERROR(INDEX(Staff!$B$4:$B$33,MATCH(M195,Staff!$A$4:$A$33,0)),"")&amp;"?subject="&amp;SUBSTITUTE(SUBSTITUTE(SUBSTITUTE(SUBSTITUTE(SUBSTITUTE("Enquiry "&amp;A195&amp;" allocated to you - "&amp;D195,"%","%25"),"&amp;","%26")," ","%20"),"#","%23"),CHAR(10),"%0A")&amp;"&amp;body="&amp;SUBSTITUTE(SUBSTITUTE(SUBSTITUTE(SUBSTITUTE(SUBSTITUTE("Ref: "&amp;A195&amp;CHAR(10)&amp;"Customer: "&amp;D195&amp;"  "&amp;E195&amp;CHAR(10)&amp;"Phone: "&amp;F195&amp;CHAR(10)&amp;"Email: "&amp;G195&amp;CHAR(10)&amp;"Prefers: "&amp;H195&amp;CHAR(10)&amp;"Enquiry: "&amp;LEFT(I195,600)&amp;CHAR(10)&amp;CHAR(10)&amp;"Sent from the Preston Mazda enquiry log.","%","%25"),"&amp;","%26")," ","%20"),"#","%23"),CHAR(10),"%0A"),"✉ Email "&amp;M195))</f>
        <v/>
      </c>
      <c r="W195" s="18" t="str">
        <f aca="false">IF(OR(P195="",IFERROR(INDEX(Staff!$E$4:$E$33,MATCH(P195,Staff!$D$4:$D$33,0)),"")=""),"",HYPERLINK("mailto:"&amp;IFERROR(INDEX(Staff!$E$4:$E$33,MATCH(P195,Staff!$D$4:$D$33,0)),"")&amp;"?subject="&amp;SUBSTITUTE(SUBSTITUTE(SUBSTITUTE(SUBSTITUTE(SUBSTITUTE("Parts quote "&amp;A195&amp;" allocated to you - "&amp;D195,"%","%25"),"&amp;","%26")," ","%20"),"#","%23"),CHAR(10),"%0A")&amp;"&amp;body="&amp;SUBSTITUTE(SUBSTITUTE(SUBSTITUTE(SUBSTITUTE(SUBSTITUTE("Ref: "&amp;A195&amp;CHAR(10)&amp;"Customer: "&amp;D195&amp;"  "&amp;E195&amp;CHAR(10)&amp;"Phone: "&amp;F195&amp;CHAR(10)&amp;"Email: "&amp;G195&amp;CHAR(10)&amp;"Prefers: "&amp;H195&amp;CHAR(10)&amp;"Enquiry: "&amp;LEFT(I195,600)&amp;CHAR(10)&amp;CHAR(10)&amp;"Sent from the Preston Mazda enquiry log.","%","%25"),"&amp;","%26")," ","%20"),"#","%23"),CHAR(10),"%0A"),"✉ Email "&amp;P195))</f>
        <v/>
      </c>
    </row>
    <row r="196" customFormat="false" ht="15" hidden="false" customHeight="false" outlineLevel="0" collapsed="false">
      <c r="A196" s="10" t="str">
        <f aca="false">IF(D196="","","E-"&amp;TEXT(ROW()-3,"0000"))</f>
        <v/>
      </c>
      <c r="B196" s="11"/>
      <c r="C196" s="12"/>
      <c r="D196" s="13"/>
      <c r="E196" s="14"/>
      <c r="F196" s="12"/>
      <c r="G196" s="12"/>
      <c r="H196" s="15"/>
      <c r="I196" s="16"/>
      <c r="J196" s="17" t="str">
        <f aca="false">IF(D196="","",HYPERLINK(Settings!$B$7&amp;A196&amp;".pdf","Open "&amp;A196&amp;".pdf"))</f>
        <v/>
      </c>
      <c r="K196" s="16"/>
      <c r="L196" s="12"/>
      <c r="M196" s="12"/>
      <c r="N196" s="15"/>
      <c r="O196" s="15"/>
      <c r="P196" s="12"/>
      <c r="Q196" s="15"/>
      <c r="R196" s="15"/>
      <c r="S196" s="15" t="str">
        <f aca="false">IF(D196="","",IF(AND(O196="Yes",OR(Q196&lt;&gt;"Yes",R196="Yes")),"Complete","Open"))</f>
        <v/>
      </c>
      <c r="T196" s="18" t="str">
        <f aca="false">IF(AND(Q196="Yes",R196&lt;&gt;"Yes"),HYPERLINK("mailto:"&amp;Settings!$B$5&amp;"?subject="&amp;SUBSTITUTE(SUBSTITUTE(SUBSTITUTE(SUBSTITUTE(SUBSTITUTE("Parts quote required - "&amp;D196&amp;" "&amp;E196,"%","%25"),"&amp;","%26")," ","%20"),"#","%23"),CHAR(10),"%0A")&amp;"&amp;body="&amp;SUBSTITUTE(SUBSTITUTE(SUBSTITUTE(SUBSTITUTE(SUBSTITUTE("Ref: "&amp;A196&amp;CHAR(10)&amp;"Customer: "&amp;D196&amp;"  "&amp;E196&amp;CHAR(10)&amp;"Phone: "&amp;F196&amp;CHAR(10)&amp;"Email: "&amp;G196&amp;CHAR(10)&amp;"Prefers: "&amp;H196&amp;CHAR(10)&amp;"Enquiry: "&amp;LEFT(I196,600)&amp;CHAR(10)&amp;CHAR(10)&amp;"Sent from the Preston Mazda enquiry log.","%","%25"),"&amp;","%26")," ","%20"),"#","%23"),CHAR(10),"%0A"),"✉ Email parts"),"")</f>
        <v/>
      </c>
      <c r="U196" s="18" t="str">
        <f aca="false">IF(AND(N196="Yes",O196&lt;&gt;"Yes"),HYPERLINK("mailto:"&amp;Settings!$B$6&amp;"?subject="&amp;SUBSTITUTE(SUBSTITUTE(SUBSTITUTE(SUBSTITUTE(SUBSTITUTE("Customer contact required - "&amp;D196&amp;" "&amp;E196,"%","%25"),"&amp;","%26")," ","%20"),"#","%23"),CHAR(10),"%0A")&amp;"&amp;body="&amp;SUBSTITUTE(SUBSTITUTE(SUBSTITUTE(SUBSTITUTE(SUBSTITUTE("Ref: "&amp;A196&amp;CHAR(10)&amp;"Customer: "&amp;D196&amp;"  "&amp;E196&amp;CHAR(10)&amp;"Phone: "&amp;F196&amp;CHAR(10)&amp;"Email: "&amp;G196&amp;CHAR(10)&amp;"Prefers: "&amp;H196&amp;CHAR(10)&amp;"Enquiry: "&amp;LEFT(I196,600)&amp;CHAR(10)&amp;CHAR(10)&amp;"Sent from the Preston Mazda enquiry log.","%","%25"),"&amp;","%26")," ","%20"),"#","%23"),CHAR(10),"%0A"),"✉ Email advisors"),"")</f>
        <v/>
      </c>
      <c r="V196" s="18" t="str">
        <f aca="false">IF(OR(M196="",IFERROR(INDEX(Staff!$B$4:$B$33,MATCH(M196,Staff!$A$4:$A$33,0)),"")=""),"",HYPERLINK("mailto:"&amp;IFERROR(INDEX(Staff!$B$4:$B$33,MATCH(M196,Staff!$A$4:$A$33,0)),"")&amp;"?subject="&amp;SUBSTITUTE(SUBSTITUTE(SUBSTITUTE(SUBSTITUTE(SUBSTITUTE("Enquiry "&amp;A196&amp;" allocated to you - "&amp;D196,"%","%25"),"&amp;","%26")," ","%20"),"#","%23"),CHAR(10),"%0A")&amp;"&amp;body="&amp;SUBSTITUTE(SUBSTITUTE(SUBSTITUTE(SUBSTITUTE(SUBSTITUTE("Ref: "&amp;A196&amp;CHAR(10)&amp;"Customer: "&amp;D196&amp;"  "&amp;E196&amp;CHAR(10)&amp;"Phone: "&amp;F196&amp;CHAR(10)&amp;"Email: "&amp;G196&amp;CHAR(10)&amp;"Prefers: "&amp;H196&amp;CHAR(10)&amp;"Enquiry: "&amp;LEFT(I196,600)&amp;CHAR(10)&amp;CHAR(10)&amp;"Sent from the Preston Mazda enquiry log.","%","%25"),"&amp;","%26")," ","%20"),"#","%23"),CHAR(10),"%0A"),"✉ Email "&amp;M196))</f>
        <v/>
      </c>
      <c r="W196" s="18" t="str">
        <f aca="false">IF(OR(P196="",IFERROR(INDEX(Staff!$E$4:$E$33,MATCH(P196,Staff!$D$4:$D$33,0)),"")=""),"",HYPERLINK("mailto:"&amp;IFERROR(INDEX(Staff!$E$4:$E$33,MATCH(P196,Staff!$D$4:$D$33,0)),"")&amp;"?subject="&amp;SUBSTITUTE(SUBSTITUTE(SUBSTITUTE(SUBSTITUTE(SUBSTITUTE("Parts quote "&amp;A196&amp;" allocated to you - "&amp;D196,"%","%25"),"&amp;","%26")," ","%20"),"#","%23"),CHAR(10),"%0A")&amp;"&amp;body="&amp;SUBSTITUTE(SUBSTITUTE(SUBSTITUTE(SUBSTITUTE(SUBSTITUTE("Ref: "&amp;A196&amp;CHAR(10)&amp;"Customer: "&amp;D196&amp;"  "&amp;E196&amp;CHAR(10)&amp;"Phone: "&amp;F196&amp;CHAR(10)&amp;"Email: "&amp;G196&amp;CHAR(10)&amp;"Prefers: "&amp;H196&amp;CHAR(10)&amp;"Enquiry: "&amp;LEFT(I196,600)&amp;CHAR(10)&amp;CHAR(10)&amp;"Sent from the Preston Mazda enquiry log.","%","%25"),"&amp;","%26")," ","%20"),"#","%23"),CHAR(10),"%0A"),"✉ Email "&amp;P196))</f>
        <v/>
      </c>
    </row>
    <row r="197" customFormat="false" ht="15" hidden="false" customHeight="false" outlineLevel="0" collapsed="false">
      <c r="A197" s="10" t="str">
        <f aca="false">IF(D197="","","E-"&amp;TEXT(ROW()-3,"0000"))</f>
        <v/>
      </c>
      <c r="B197" s="11"/>
      <c r="C197" s="12"/>
      <c r="D197" s="13"/>
      <c r="E197" s="14"/>
      <c r="F197" s="12"/>
      <c r="G197" s="12"/>
      <c r="H197" s="15"/>
      <c r="I197" s="16"/>
      <c r="J197" s="17" t="str">
        <f aca="false">IF(D197="","",HYPERLINK(Settings!$B$7&amp;A197&amp;".pdf","Open "&amp;A197&amp;".pdf"))</f>
        <v/>
      </c>
      <c r="K197" s="16"/>
      <c r="L197" s="12"/>
      <c r="M197" s="12"/>
      <c r="N197" s="15"/>
      <c r="O197" s="15"/>
      <c r="P197" s="12"/>
      <c r="Q197" s="15"/>
      <c r="R197" s="15"/>
      <c r="S197" s="15" t="str">
        <f aca="false">IF(D197="","",IF(AND(O197="Yes",OR(Q197&lt;&gt;"Yes",R197="Yes")),"Complete","Open"))</f>
        <v/>
      </c>
      <c r="T197" s="18" t="str">
        <f aca="false">IF(AND(Q197="Yes",R197&lt;&gt;"Yes"),HYPERLINK("mailto:"&amp;Settings!$B$5&amp;"?subject="&amp;SUBSTITUTE(SUBSTITUTE(SUBSTITUTE(SUBSTITUTE(SUBSTITUTE("Parts quote required - "&amp;D197&amp;" "&amp;E197,"%","%25"),"&amp;","%26")," ","%20"),"#","%23"),CHAR(10),"%0A")&amp;"&amp;body="&amp;SUBSTITUTE(SUBSTITUTE(SUBSTITUTE(SUBSTITUTE(SUBSTITUTE("Ref: "&amp;A197&amp;CHAR(10)&amp;"Customer: "&amp;D197&amp;"  "&amp;E197&amp;CHAR(10)&amp;"Phone: "&amp;F197&amp;CHAR(10)&amp;"Email: "&amp;G197&amp;CHAR(10)&amp;"Prefers: "&amp;H197&amp;CHAR(10)&amp;"Enquiry: "&amp;LEFT(I197,600)&amp;CHAR(10)&amp;CHAR(10)&amp;"Sent from the Preston Mazda enquiry log.","%","%25"),"&amp;","%26")," ","%20"),"#","%23"),CHAR(10),"%0A"),"✉ Email parts"),"")</f>
        <v/>
      </c>
      <c r="U197" s="18" t="str">
        <f aca="false">IF(AND(N197="Yes",O197&lt;&gt;"Yes"),HYPERLINK("mailto:"&amp;Settings!$B$6&amp;"?subject="&amp;SUBSTITUTE(SUBSTITUTE(SUBSTITUTE(SUBSTITUTE(SUBSTITUTE("Customer contact required - "&amp;D197&amp;" "&amp;E197,"%","%25"),"&amp;","%26")," ","%20"),"#","%23"),CHAR(10),"%0A")&amp;"&amp;body="&amp;SUBSTITUTE(SUBSTITUTE(SUBSTITUTE(SUBSTITUTE(SUBSTITUTE("Ref: "&amp;A197&amp;CHAR(10)&amp;"Customer: "&amp;D197&amp;"  "&amp;E197&amp;CHAR(10)&amp;"Phone: "&amp;F197&amp;CHAR(10)&amp;"Email: "&amp;G197&amp;CHAR(10)&amp;"Prefers: "&amp;H197&amp;CHAR(10)&amp;"Enquiry: "&amp;LEFT(I197,600)&amp;CHAR(10)&amp;CHAR(10)&amp;"Sent from the Preston Mazda enquiry log.","%","%25"),"&amp;","%26")," ","%20"),"#","%23"),CHAR(10),"%0A"),"✉ Email advisors"),"")</f>
        <v/>
      </c>
      <c r="V197" s="18" t="str">
        <f aca="false">IF(OR(M197="",IFERROR(INDEX(Staff!$B$4:$B$33,MATCH(M197,Staff!$A$4:$A$33,0)),"")=""),"",HYPERLINK("mailto:"&amp;IFERROR(INDEX(Staff!$B$4:$B$33,MATCH(M197,Staff!$A$4:$A$33,0)),"")&amp;"?subject="&amp;SUBSTITUTE(SUBSTITUTE(SUBSTITUTE(SUBSTITUTE(SUBSTITUTE("Enquiry "&amp;A197&amp;" allocated to you - "&amp;D197,"%","%25"),"&amp;","%26")," ","%20"),"#","%23"),CHAR(10),"%0A")&amp;"&amp;body="&amp;SUBSTITUTE(SUBSTITUTE(SUBSTITUTE(SUBSTITUTE(SUBSTITUTE("Ref: "&amp;A197&amp;CHAR(10)&amp;"Customer: "&amp;D197&amp;"  "&amp;E197&amp;CHAR(10)&amp;"Phone: "&amp;F197&amp;CHAR(10)&amp;"Email: "&amp;G197&amp;CHAR(10)&amp;"Prefers: "&amp;H197&amp;CHAR(10)&amp;"Enquiry: "&amp;LEFT(I197,600)&amp;CHAR(10)&amp;CHAR(10)&amp;"Sent from the Preston Mazda enquiry log.","%","%25"),"&amp;","%26")," ","%20"),"#","%23"),CHAR(10),"%0A"),"✉ Email "&amp;M197))</f>
        <v/>
      </c>
      <c r="W197" s="18" t="str">
        <f aca="false">IF(OR(P197="",IFERROR(INDEX(Staff!$E$4:$E$33,MATCH(P197,Staff!$D$4:$D$33,0)),"")=""),"",HYPERLINK("mailto:"&amp;IFERROR(INDEX(Staff!$E$4:$E$33,MATCH(P197,Staff!$D$4:$D$33,0)),"")&amp;"?subject="&amp;SUBSTITUTE(SUBSTITUTE(SUBSTITUTE(SUBSTITUTE(SUBSTITUTE("Parts quote "&amp;A197&amp;" allocated to you - "&amp;D197,"%","%25"),"&amp;","%26")," ","%20"),"#","%23"),CHAR(10),"%0A")&amp;"&amp;body="&amp;SUBSTITUTE(SUBSTITUTE(SUBSTITUTE(SUBSTITUTE(SUBSTITUTE("Ref: "&amp;A197&amp;CHAR(10)&amp;"Customer: "&amp;D197&amp;"  "&amp;E197&amp;CHAR(10)&amp;"Phone: "&amp;F197&amp;CHAR(10)&amp;"Email: "&amp;G197&amp;CHAR(10)&amp;"Prefers: "&amp;H197&amp;CHAR(10)&amp;"Enquiry: "&amp;LEFT(I197,600)&amp;CHAR(10)&amp;CHAR(10)&amp;"Sent from the Preston Mazda enquiry log.","%","%25"),"&amp;","%26")," ","%20"),"#","%23"),CHAR(10),"%0A"),"✉ Email "&amp;P197))</f>
        <v/>
      </c>
    </row>
    <row r="198" customFormat="false" ht="15" hidden="false" customHeight="false" outlineLevel="0" collapsed="false">
      <c r="A198" s="10" t="str">
        <f aca="false">IF(D198="","","E-"&amp;TEXT(ROW()-3,"0000"))</f>
        <v/>
      </c>
      <c r="B198" s="11"/>
      <c r="C198" s="12"/>
      <c r="D198" s="13"/>
      <c r="E198" s="14"/>
      <c r="F198" s="12"/>
      <c r="G198" s="12"/>
      <c r="H198" s="15"/>
      <c r="I198" s="16"/>
      <c r="J198" s="17" t="str">
        <f aca="false">IF(D198="","",HYPERLINK(Settings!$B$7&amp;A198&amp;".pdf","Open "&amp;A198&amp;".pdf"))</f>
        <v/>
      </c>
      <c r="K198" s="16"/>
      <c r="L198" s="12"/>
      <c r="M198" s="12"/>
      <c r="N198" s="15"/>
      <c r="O198" s="15"/>
      <c r="P198" s="12"/>
      <c r="Q198" s="15"/>
      <c r="R198" s="15"/>
      <c r="S198" s="15" t="str">
        <f aca="false">IF(D198="","",IF(AND(O198="Yes",OR(Q198&lt;&gt;"Yes",R198="Yes")),"Complete","Open"))</f>
        <v/>
      </c>
      <c r="T198" s="18" t="str">
        <f aca="false">IF(AND(Q198="Yes",R198&lt;&gt;"Yes"),HYPERLINK("mailto:"&amp;Settings!$B$5&amp;"?subject="&amp;SUBSTITUTE(SUBSTITUTE(SUBSTITUTE(SUBSTITUTE(SUBSTITUTE("Parts quote required - "&amp;D198&amp;" "&amp;E198,"%","%25"),"&amp;","%26")," ","%20"),"#","%23"),CHAR(10),"%0A")&amp;"&amp;body="&amp;SUBSTITUTE(SUBSTITUTE(SUBSTITUTE(SUBSTITUTE(SUBSTITUTE("Ref: "&amp;A198&amp;CHAR(10)&amp;"Customer: "&amp;D198&amp;"  "&amp;E198&amp;CHAR(10)&amp;"Phone: "&amp;F198&amp;CHAR(10)&amp;"Email: "&amp;G198&amp;CHAR(10)&amp;"Prefers: "&amp;H198&amp;CHAR(10)&amp;"Enquiry: "&amp;LEFT(I198,600)&amp;CHAR(10)&amp;CHAR(10)&amp;"Sent from the Preston Mazda enquiry log.","%","%25"),"&amp;","%26")," ","%20"),"#","%23"),CHAR(10),"%0A"),"✉ Email parts"),"")</f>
        <v/>
      </c>
      <c r="U198" s="18" t="str">
        <f aca="false">IF(AND(N198="Yes",O198&lt;&gt;"Yes"),HYPERLINK("mailto:"&amp;Settings!$B$6&amp;"?subject="&amp;SUBSTITUTE(SUBSTITUTE(SUBSTITUTE(SUBSTITUTE(SUBSTITUTE("Customer contact required - "&amp;D198&amp;" "&amp;E198,"%","%25"),"&amp;","%26")," ","%20"),"#","%23"),CHAR(10),"%0A")&amp;"&amp;body="&amp;SUBSTITUTE(SUBSTITUTE(SUBSTITUTE(SUBSTITUTE(SUBSTITUTE("Ref: "&amp;A198&amp;CHAR(10)&amp;"Customer: "&amp;D198&amp;"  "&amp;E198&amp;CHAR(10)&amp;"Phone: "&amp;F198&amp;CHAR(10)&amp;"Email: "&amp;G198&amp;CHAR(10)&amp;"Prefers: "&amp;H198&amp;CHAR(10)&amp;"Enquiry: "&amp;LEFT(I198,600)&amp;CHAR(10)&amp;CHAR(10)&amp;"Sent from the Preston Mazda enquiry log.","%","%25"),"&amp;","%26")," ","%20"),"#","%23"),CHAR(10),"%0A"),"✉ Email advisors"),"")</f>
        <v/>
      </c>
      <c r="V198" s="18" t="str">
        <f aca="false">IF(OR(M198="",IFERROR(INDEX(Staff!$B$4:$B$33,MATCH(M198,Staff!$A$4:$A$33,0)),"")=""),"",HYPERLINK("mailto:"&amp;IFERROR(INDEX(Staff!$B$4:$B$33,MATCH(M198,Staff!$A$4:$A$33,0)),"")&amp;"?subject="&amp;SUBSTITUTE(SUBSTITUTE(SUBSTITUTE(SUBSTITUTE(SUBSTITUTE("Enquiry "&amp;A198&amp;" allocated to you - "&amp;D198,"%","%25"),"&amp;","%26")," ","%20"),"#","%23"),CHAR(10),"%0A")&amp;"&amp;body="&amp;SUBSTITUTE(SUBSTITUTE(SUBSTITUTE(SUBSTITUTE(SUBSTITUTE("Ref: "&amp;A198&amp;CHAR(10)&amp;"Customer: "&amp;D198&amp;"  "&amp;E198&amp;CHAR(10)&amp;"Phone: "&amp;F198&amp;CHAR(10)&amp;"Email: "&amp;G198&amp;CHAR(10)&amp;"Prefers: "&amp;H198&amp;CHAR(10)&amp;"Enquiry: "&amp;LEFT(I198,600)&amp;CHAR(10)&amp;CHAR(10)&amp;"Sent from the Preston Mazda enquiry log.","%","%25"),"&amp;","%26")," ","%20"),"#","%23"),CHAR(10),"%0A"),"✉ Email "&amp;M198))</f>
        <v/>
      </c>
      <c r="W198" s="18" t="str">
        <f aca="false">IF(OR(P198="",IFERROR(INDEX(Staff!$E$4:$E$33,MATCH(P198,Staff!$D$4:$D$33,0)),"")=""),"",HYPERLINK("mailto:"&amp;IFERROR(INDEX(Staff!$E$4:$E$33,MATCH(P198,Staff!$D$4:$D$33,0)),"")&amp;"?subject="&amp;SUBSTITUTE(SUBSTITUTE(SUBSTITUTE(SUBSTITUTE(SUBSTITUTE("Parts quote "&amp;A198&amp;" allocated to you - "&amp;D198,"%","%25"),"&amp;","%26")," ","%20"),"#","%23"),CHAR(10),"%0A")&amp;"&amp;body="&amp;SUBSTITUTE(SUBSTITUTE(SUBSTITUTE(SUBSTITUTE(SUBSTITUTE("Ref: "&amp;A198&amp;CHAR(10)&amp;"Customer: "&amp;D198&amp;"  "&amp;E198&amp;CHAR(10)&amp;"Phone: "&amp;F198&amp;CHAR(10)&amp;"Email: "&amp;G198&amp;CHAR(10)&amp;"Prefers: "&amp;H198&amp;CHAR(10)&amp;"Enquiry: "&amp;LEFT(I198,600)&amp;CHAR(10)&amp;CHAR(10)&amp;"Sent from the Preston Mazda enquiry log.","%","%25"),"&amp;","%26")," ","%20"),"#","%23"),CHAR(10),"%0A"),"✉ Email "&amp;P198))</f>
        <v/>
      </c>
    </row>
    <row r="199" customFormat="false" ht="15" hidden="false" customHeight="false" outlineLevel="0" collapsed="false">
      <c r="A199" s="10" t="str">
        <f aca="false">IF(D199="","","E-"&amp;TEXT(ROW()-3,"0000"))</f>
        <v/>
      </c>
      <c r="B199" s="11"/>
      <c r="C199" s="12"/>
      <c r="D199" s="13"/>
      <c r="E199" s="14"/>
      <c r="F199" s="12"/>
      <c r="G199" s="12"/>
      <c r="H199" s="15"/>
      <c r="I199" s="16"/>
      <c r="J199" s="17" t="str">
        <f aca="false">IF(D199="","",HYPERLINK(Settings!$B$7&amp;A199&amp;".pdf","Open "&amp;A199&amp;".pdf"))</f>
        <v/>
      </c>
      <c r="K199" s="16"/>
      <c r="L199" s="12"/>
      <c r="M199" s="12"/>
      <c r="N199" s="15"/>
      <c r="O199" s="15"/>
      <c r="P199" s="12"/>
      <c r="Q199" s="15"/>
      <c r="R199" s="15"/>
      <c r="S199" s="15" t="str">
        <f aca="false">IF(D199="","",IF(AND(O199="Yes",OR(Q199&lt;&gt;"Yes",R199="Yes")),"Complete","Open"))</f>
        <v/>
      </c>
      <c r="T199" s="18" t="str">
        <f aca="false">IF(AND(Q199="Yes",R199&lt;&gt;"Yes"),HYPERLINK("mailto:"&amp;Settings!$B$5&amp;"?subject="&amp;SUBSTITUTE(SUBSTITUTE(SUBSTITUTE(SUBSTITUTE(SUBSTITUTE("Parts quote required - "&amp;D199&amp;" "&amp;E199,"%","%25"),"&amp;","%26")," ","%20"),"#","%23"),CHAR(10),"%0A")&amp;"&amp;body="&amp;SUBSTITUTE(SUBSTITUTE(SUBSTITUTE(SUBSTITUTE(SUBSTITUTE("Ref: "&amp;A199&amp;CHAR(10)&amp;"Customer: "&amp;D199&amp;"  "&amp;E199&amp;CHAR(10)&amp;"Phone: "&amp;F199&amp;CHAR(10)&amp;"Email: "&amp;G199&amp;CHAR(10)&amp;"Prefers: "&amp;H199&amp;CHAR(10)&amp;"Enquiry: "&amp;LEFT(I199,600)&amp;CHAR(10)&amp;CHAR(10)&amp;"Sent from the Preston Mazda enquiry log.","%","%25"),"&amp;","%26")," ","%20"),"#","%23"),CHAR(10),"%0A"),"✉ Email parts"),"")</f>
        <v/>
      </c>
      <c r="U199" s="18" t="str">
        <f aca="false">IF(AND(N199="Yes",O199&lt;&gt;"Yes"),HYPERLINK("mailto:"&amp;Settings!$B$6&amp;"?subject="&amp;SUBSTITUTE(SUBSTITUTE(SUBSTITUTE(SUBSTITUTE(SUBSTITUTE("Customer contact required - "&amp;D199&amp;" "&amp;E199,"%","%25"),"&amp;","%26")," ","%20"),"#","%23"),CHAR(10),"%0A")&amp;"&amp;body="&amp;SUBSTITUTE(SUBSTITUTE(SUBSTITUTE(SUBSTITUTE(SUBSTITUTE("Ref: "&amp;A199&amp;CHAR(10)&amp;"Customer: "&amp;D199&amp;"  "&amp;E199&amp;CHAR(10)&amp;"Phone: "&amp;F199&amp;CHAR(10)&amp;"Email: "&amp;G199&amp;CHAR(10)&amp;"Prefers: "&amp;H199&amp;CHAR(10)&amp;"Enquiry: "&amp;LEFT(I199,600)&amp;CHAR(10)&amp;CHAR(10)&amp;"Sent from the Preston Mazda enquiry log.","%","%25"),"&amp;","%26")," ","%20"),"#","%23"),CHAR(10),"%0A"),"✉ Email advisors"),"")</f>
        <v/>
      </c>
      <c r="V199" s="18" t="str">
        <f aca="false">IF(OR(M199="",IFERROR(INDEX(Staff!$B$4:$B$33,MATCH(M199,Staff!$A$4:$A$33,0)),"")=""),"",HYPERLINK("mailto:"&amp;IFERROR(INDEX(Staff!$B$4:$B$33,MATCH(M199,Staff!$A$4:$A$33,0)),"")&amp;"?subject="&amp;SUBSTITUTE(SUBSTITUTE(SUBSTITUTE(SUBSTITUTE(SUBSTITUTE("Enquiry "&amp;A199&amp;" allocated to you - "&amp;D199,"%","%25"),"&amp;","%26")," ","%20"),"#","%23"),CHAR(10),"%0A")&amp;"&amp;body="&amp;SUBSTITUTE(SUBSTITUTE(SUBSTITUTE(SUBSTITUTE(SUBSTITUTE("Ref: "&amp;A199&amp;CHAR(10)&amp;"Customer: "&amp;D199&amp;"  "&amp;E199&amp;CHAR(10)&amp;"Phone: "&amp;F199&amp;CHAR(10)&amp;"Email: "&amp;G199&amp;CHAR(10)&amp;"Prefers: "&amp;H199&amp;CHAR(10)&amp;"Enquiry: "&amp;LEFT(I199,600)&amp;CHAR(10)&amp;CHAR(10)&amp;"Sent from the Preston Mazda enquiry log.","%","%25"),"&amp;","%26")," ","%20"),"#","%23"),CHAR(10),"%0A"),"✉ Email "&amp;M199))</f>
        <v/>
      </c>
      <c r="W199" s="18" t="str">
        <f aca="false">IF(OR(P199="",IFERROR(INDEX(Staff!$E$4:$E$33,MATCH(P199,Staff!$D$4:$D$33,0)),"")=""),"",HYPERLINK("mailto:"&amp;IFERROR(INDEX(Staff!$E$4:$E$33,MATCH(P199,Staff!$D$4:$D$33,0)),"")&amp;"?subject="&amp;SUBSTITUTE(SUBSTITUTE(SUBSTITUTE(SUBSTITUTE(SUBSTITUTE("Parts quote "&amp;A199&amp;" allocated to you - "&amp;D199,"%","%25"),"&amp;","%26")," ","%20"),"#","%23"),CHAR(10),"%0A")&amp;"&amp;body="&amp;SUBSTITUTE(SUBSTITUTE(SUBSTITUTE(SUBSTITUTE(SUBSTITUTE("Ref: "&amp;A199&amp;CHAR(10)&amp;"Customer: "&amp;D199&amp;"  "&amp;E199&amp;CHAR(10)&amp;"Phone: "&amp;F199&amp;CHAR(10)&amp;"Email: "&amp;G199&amp;CHAR(10)&amp;"Prefers: "&amp;H199&amp;CHAR(10)&amp;"Enquiry: "&amp;LEFT(I199,600)&amp;CHAR(10)&amp;CHAR(10)&amp;"Sent from the Preston Mazda enquiry log.","%","%25"),"&amp;","%26")," ","%20"),"#","%23"),CHAR(10),"%0A"),"✉ Email "&amp;P199))</f>
        <v/>
      </c>
    </row>
    <row r="200" customFormat="false" ht="15" hidden="false" customHeight="false" outlineLevel="0" collapsed="false">
      <c r="A200" s="10" t="str">
        <f aca="false">IF(D200="","","E-"&amp;TEXT(ROW()-3,"0000"))</f>
        <v/>
      </c>
      <c r="B200" s="11"/>
      <c r="C200" s="12"/>
      <c r="D200" s="13"/>
      <c r="E200" s="14"/>
      <c r="F200" s="12"/>
      <c r="G200" s="12"/>
      <c r="H200" s="15"/>
      <c r="I200" s="16"/>
      <c r="J200" s="17" t="str">
        <f aca="false">IF(D200="","",HYPERLINK(Settings!$B$7&amp;A200&amp;".pdf","Open "&amp;A200&amp;".pdf"))</f>
        <v/>
      </c>
      <c r="K200" s="16"/>
      <c r="L200" s="12"/>
      <c r="M200" s="12"/>
      <c r="N200" s="15"/>
      <c r="O200" s="15"/>
      <c r="P200" s="12"/>
      <c r="Q200" s="15"/>
      <c r="R200" s="15"/>
      <c r="S200" s="15" t="str">
        <f aca="false">IF(D200="","",IF(AND(O200="Yes",OR(Q200&lt;&gt;"Yes",R200="Yes")),"Complete","Open"))</f>
        <v/>
      </c>
      <c r="T200" s="18" t="str">
        <f aca="false">IF(AND(Q200="Yes",R200&lt;&gt;"Yes"),HYPERLINK("mailto:"&amp;Settings!$B$5&amp;"?subject="&amp;SUBSTITUTE(SUBSTITUTE(SUBSTITUTE(SUBSTITUTE(SUBSTITUTE("Parts quote required - "&amp;D200&amp;" "&amp;E200,"%","%25"),"&amp;","%26")," ","%20"),"#","%23"),CHAR(10),"%0A")&amp;"&amp;body="&amp;SUBSTITUTE(SUBSTITUTE(SUBSTITUTE(SUBSTITUTE(SUBSTITUTE("Ref: "&amp;A200&amp;CHAR(10)&amp;"Customer: "&amp;D200&amp;"  "&amp;E200&amp;CHAR(10)&amp;"Phone: "&amp;F200&amp;CHAR(10)&amp;"Email: "&amp;G200&amp;CHAR(10)&amp;"Prefers: "&amp;H200&amp;CHAR(10)&amp;"Enquiry: "&amp;LEFT(I200,600)&amp;CHAR(10)&amp;CHAR(10)&amp;"Sent from the Preston Mazda enquiry log.","%","%25"),"&amp;","%26")," ","%20"),"#","%23"),CHAR(10),"%0A"),"✉ Email parts"),"")</f>
        <v/>
      </c>
      <c r="U200" s="18" t="str">
        <f aca="false">IF(AND(N200="Yes",O200&lt;&gt;"Yes"),HYPERLINK("mailto:"&amp;Settings!$B$6&amp;"?subject="&amp;SUBSTITUTE(SUBSTITUTE(SUBSTITUTE(SUBSTITUTE(SUBSTITUTE("Customer contact required - "&amp;D200&amp;" "&amp;E200,"%","%25"),"&amp;","%26")," ","%20"),"#","%23"),CHAR(10),"%0A")&amp;"&amp;body="&amp;SUBSTITUTE(SUBSTITUTE(SUBSTITUTE(SUBSTITUTE(SUBSTITUTE("Ref: "&amp;A200&amp;CHAR(10)&amp;"Customer: "&amp;D200&amp;"  "&amp;E200&amp;CHAR(10)&amp;"Phone: "&amp;F200&amp;CHAR(10)&amp;"Email: "&amp;G200&amp;CHAR(10)&amp;"Prefers: "&amp;H200&amp;CHAR(10)&amp;"Enquiry: "&amp;LEFT(I200,600)&amp;CHAR(10)&amp;CHAR(10)&amp;"Sent from the Preston Mazda enquiry log.","%","%25"),"&amp;","%26")," ","%20"),"#","%23"),CHAR(10),"%0A"),"✉ Email advisors"),"")</f>
        <v/>
      </c>
      <c r="V200" s="18" t="str">
        <f aca="false">IF(OR(M200="",IFERROR(INDEX(Staff!$B$4:$B$33,MATCH(M200,Staff!$A$4:$A$33,0)),"")=""),"",HYPERLINK("mailto:"&amp;IFERROR(INDEX(Staff!$B$4:$B$33,MATCH(M200,Staff!$A$4:$A$33,0)),"")&amp;"?subject="&amp;SUBSTITUTE(SUBSTITUTE(SUBSTITUTE(SUBSTITUTE(SUBSTITUTE("Enquiry "&amp;A200&amp;" allocated to you - "&amp;D200,"%","%25"),"&amp;","%26")," ","%20"),"#","%23"),CHAR(10),"%0A")&amp;"&amp;body="&amp;SUBSTITUTE(SUBSTITUTE(SUBSTITUTE(SUBSTITUTE(SUBSTITUTE("Ref: "&amp;A200&amp;CHAR(10)&amp;"Customer: "&amp;D200&amp;"  "&amp;E200&amp;CHAR(10)&amp;"Phone: "&amp;F200&amp;CHAR(10)&amp;"Email: "&amp;G200&amp;CHAR(10)&amp;"Prefers: "&amp;H200&amp;CHAR(10)&amp;"Enquiry: "&amp;LEFT(I200,600)&amp;CHAR(10)&amp;CHAR(10)&amp;"Sent from the Preston Mazda enquiry log.","%","%25"),"&amp;","%26")," ","%20"),"#","%23"),CHAR(10),"%0A"),"✉ Email "&amp;M200))</f>
        <v/>
      </c>
      <c r="W200" s="18" t="str">
        <f aca="false">IF(OR(P200="",IFERROR(INDEX(Staff!$E$4:$E$33,MATCH(P200,Staff!$D$4:$D$33,0)),"")=""),"",HYPERLINK("mailto:"&amp;IFERROR(INDEX(Staff!$E$4:$E$33,MATCH(P200,Staff!$D$4:$D$33,0)),"")&amp;"?subject="&amp;SUBSTITUTE(SUBSTITUTE(SUBSTITUTE(SUBSTITUTE(SUBSTITUTE("Parts quote "&amp;A200&amp;" allocated to you - "&amp;D200,"%","%25"),"&amp;","%26")," ","%20"),"#","%23"),CHAR(10),"%0A")&amp;"&amp;body="&amp;SUBSTITUTE(SUBSTITUTE(SUBSTITUTE(SUBSTITUTE(SUBSTITUTE("Ref: "&amp;A200&amp;CHAR(10)&amp;"Customer: "&amp;D200&amp;"  "&amp;E200&amp;CHAR(10)&amp;"Phone: "&amp;F200&amp;CHAR(10)&amp;"Email: "&amp;G200&amp;CHAR(10)&amp;"Prefers: "&amp;H200&amp;CHAR(10)&amp;"Enquiry: "&amp;LEFT(I200,600)&amp;CHAR(10)&amp;CHAR(10)&amp;"Sent from the Preston Mazda enquiry log.","%","%25"),"&amp;","%26")," ","%20"),"#","%23"),CHAR(10),"%0A"),"✉ Email "&amp;P200))</f>
        <v/>
      </c>
    </row>
    <row r="201" customFormat="false" ht="15" hidden="false" customHeight="false" outlineLevel="0" collapsed="false">
      <c r="A201" s="10" t="str">
        <f aca="false">IF(D201="","","E-"&amp;TEXT(ROW()-3,"0000"))</f>
        <v/>
      </c>
      <c r="B201" s="11"/>
      <c r="C201" s="12"/>
      <c r="D201" s="13"/>
      <c r="E201" s="14"/>
      <c r="F201" s="12"/>
      <c r="G201" s="12"/>
      <c r="H201" s="15"/>
      <c r="I201" s="16"/>
      <c r="J201" s="17" t="str">
        <f aca="false">IF(D201="","",HYPERLINK(Settings!$B$7&amp;A201&amp;".pdf","Open "&amp;A201&amp;".pdf"))</f>
        <v/>
      </c>
      <c r="K201" s="16"/>
      <c r="L201" s="12"/>
      <c r="M201" s="12"/>
      <c r="N201" s="15"/>
      <c r="O201" s="15"/>
      <c r="P201" s="12"/>
      <c r="Q201" s="15"/>
      <c r="R201" s="15"/>
      <c r="S201" s="15" t="str">
        <f aca="false">IF(D201="","",IF(AND(O201="Yes",OR(Q201&lt;&gt;"Yes",R201="Yes")),"Complete","Open"))</f>
        <v/>
      </c>
      <c r="T201" s="18" t="str">
        <f aca="false">IF(AND(Q201="Yes",R201&lt;&gt;"Yes"),HYPERLINK("mailto:"&amp;Settings!$B$5&amp;"?subject="&amp;SUBSTITUTE(SUBSTITUTE(SUBSTITUTE(SUBSTITUTE(SUBSTITUTE("Parts quote required - "&amp;D201&amp;" "&amp;E201,"%","%25"),"&amp;","%26")," ","%20"),"#","%23"),CHAR(10),"%0A")&amp;"&amp;body="&amp;SUBSTITUTE(SUBSTITUTE(SUBSTITUTE(SUBSTITUTE(SUBSTITUTE("Ref: "&amp;A201&amp;CHAR(10)&amp;"Customer: "&amp;D201&amp;"  "&amp;E201&amp;CHAR(10)&amp;"Phone: "&amp;F201&amp;CHAR(10)&amp;"Email: "&amp;G201&amp;CHAR(10)&amp;"Prefers: "&amp;H201&amp;CHAR(10)&amp;"Enquiry: "&amp;LEFT(I201,600)&amp;CHAR(10)&amp;CHAR(10)&amp;"Sent from the Preston Mazda enquiry log.","%","%25"),"&amp;","%26")," ","%20"),"#","%23"),CHAR(10),"%0A"),"✉ Email parts"),"")</f>
        <v/>
      </c>
      <c r="U201" s="18" t="str">
        <f aca="false">IF(AND(N201="Yes",O201&lt;&gt;"Yes"),HYPERLINK("mailto:"&amp;Settings!$B$6&amp;"?subject="&amp;SUBSTITUTE(SUBSTITUTE(SUBSTITUTE(SUBSTITUTE(SUBSTITUTE("Customer contact required - "&amp;D201&amp;" "&amp;E201,"%","%25"),"&amp;","%26")," ","%20"),"#","%23"),CHAR(10),"%0A")&amp;"&amp;body="&amp;SUBSTITUTE(SUBSTITUTE(SUBSTITUTE(SUBSTITUTE(SUBSTITUTE("Ref: "&amp;A201&amp;CHAR(10)&amp;"Customer: "&amp;D201&amp;"  "&amp;E201&amp;CHAR(10)&amp;"Phone: "&amp;F201&amp;CHAR(10)&amp;"Email: "&amp;G201&amp;CHAR(10)&amp;"Prefers: "&amp;H201&amp;CHAR(10)&amp;"Enquiry: "&amp;LEFT(I201,600)&amp;CHAR(10)&amp;CHAR(10)&amp;"Sent from the Preston Mazda enquiry log.","%","%25"),"&amp;","%26")," ","%20"),"#","%23"),CHAR(10),"%0A"),"✉ Email advisors"),"")</f>
        <v/>
      </c>
      <c r="V201" s="18" t="str">
        <f aca="false">IF(OR(M201="",IFERROR(INDEX(Staff!$B$4:$B$33,MATCH(M201,Staff!$A$4:$A$33,0)),"")=""),"",HYPERLINK("mailto:"&amp;IFERROR(INDEX(Staff!$B$4:$B$33,MATCH(M201,Staff!$A$4:$A$33,0)),"")&amp;"?subject="&amp;SUBSTITUTE(SUBSTITUTE(SUBSTITUTE(SUBSTITUTE(SUBSTITUTE("Enquiry "&amp;A201&amp;" allocated to you - "&amp;D201,"%","%25"),"&amp;","%26")," ","%20"),"#","%23"),CHAR(10),"%0A")&amp;"&amp;body="&amp;SUBSTITUTE(SUBSTITUTE(SUBSTITUTE(SUBSTITUTE(SUBSTITUTE("Ref: "&amp;A201&amp;CHAR(10)&amp;"Customer: "&amp;D201&amp;"  "&amp;E201&amp;CHAR(10)&amp;"Phone: "&amp;F201&amp;CHAR(10)&amp;"Email: "&amp;G201&amp;CHAR(10)&amp;"Prefers: "&amp;H201&amp;CHAR(10)&amp;"Enquiry: "&amp;LEFT(I201,600)&amp;CHAR(10)&amp;CHAR(10)&amp;"Sent from the Preston Mazda enquiry log.","%","%25"),"&amp;","%26")," ","%20"),"#","%23"),CHAR(10),"%0A"),"✉ Email "&amp;M201))</f>
        <v/>
      </c>
      <c r="W201" s="18" t="str">
        <f aca="false">IF(OR(P201="",IFERROR(INDEX(Staff!$E$4:$E$33,MATCH(P201,Staff!$D$4:$D$33,0)),"")=""),"",HYPERLINK("mailto:"&amp;IFERROR(INDEX(Staff!$E$4:$E$33,MATCH(P201,Staff!$D$4:$D$33,0)),"")&amp;"?subject="&amp;SUBSTITUTE(SUBSTITUTE(SUBSTITUTE(SUBSTITUTE(SUBSTITUTE("Parts quote "&amp;A201&amp;" allocated to you - "&amp;D201,"%","%25"),"&amp;","%26")," ","%20"),"#","%23"),CHAR(10),"%0A")&amp;"&amp;body="&amp;SUBSTITUTE(SUBSTITUTE(SUBSTITUTE(SUBSTITUTE(SUBSTITUTE("Ref: "&amp;A201&amp;CHAR(10)&amp;"Customer: "&amp;D201&amp;"  "&amp;E201&amp;CHAR(10)&amp;"Phone: "&amp;F201&amp;CHAR(10)&amp;"Email: "&amp;G201&amp;CHAR(10)&amp;"Prefers: "&amp;H201&amp;CHAR(10)&amp;"Enquiry: "&amp;LEFT(I201,600)&amp;CHAR(10)&amp;CHAR(10)&amp;"Sent from the Preston Mazda enquiry log.","%","%25"),"&amp;","%26")," ","%20"),"#","%23"),CHAR(10),"%0A"),"✉ Email "&amp;P201))</f>
        <v/>
      </c>
    </row>
    <row r="202" customFormat="false" ht="15" hidden="false" customHeight="false" outlineLevel="0" collapsed="false">
      <c r="A202" s="10" t="str">
        <f aca="false">IF(D202="","","E-"&amp;TEXT(ROW()-3,"0000"))</f>
        <v/>
      </c>
      <c r="B202" s="11"/>
      <c r="C202" s="12"/>
      <c r="D202" s="13"/>
      <c r="E202" s="14"/>
      <c r="F202" s="12"/>
      <c r="G202" s="12"/>
      <c r="H202" s="15"/>
      <c r="I202" s="16"/>
      <c r="J202" s="17" t="str">
        <f aca="false">IF(D202="","",HYPERLINK(Settings!$B$7&amp;A202&amp;".pdf","Open "&amp;A202&amp;".pdf"))</f>
        <v/>
      </c>
      <c r="K202" s="16"/>
      <c r="L202" s="12"/>
      <c r="M202" s="12"/>
      <c r="N202" s="15"/>
      <c r="O202" s="15"/>
      <c r="P202" s="12"/>
      <c r="Q202" s="15"/>
      <c r="R202" s="15"/>
      <c r="S202" s="15" t="str">
        <f aca="false">IF(D202="","",IF(AND(O202="Yes",OR(Q202&lt;&gt;"Yes",R202="Yes")),"Complete","Open"))</f>
        <v/>
      </c>
      <c r="T202" s="18" t="str">
        <f aca="false">IF(AND(Q202="Yes",R202&lt;&gt;"Yes"),HYPERLINK("mailto:"&amp;Settings!$B$5&amp;"?subject="&amp;SUBSTITUTE(SUBSTITUTE(SUBSTITUTE(SUBSTITUTE(SUBSTITUTE("Parts quote required - "&amp;D202&amp;" "&amp;E202,"%","%25"),"&amp;","%26")," ","%20"),"#","%23"),CHAR(10),"%0A")&amp;"&amp;body="&amp;SUBSTITUTE(SUBSTITUTE(SUBSTITUTE(SUBSTITUTE(SUBSTITUTE("Ref: "&amp;A202&amp;CHAR(10)&amp;"Customer: "&amp;D202&amp;"  "&amp;E202&amp;CHAR(10)&amp;"Phone: "&amp;F202&amp;CHAR(10)&amp;"Email: "&amp;G202&amp;CHAR(10)&amp;"Prefers: "&amp;H202&amp;CHAR(10)&amp;"Enquiry: "&amp;LEFT(I202,600)&amp;CHAR(10)&amp;CHAR(10)&amp;"Sent from the Preston Mazda enquiry log.","%","%25"),"&amp;","%26")," ","%20"),"#","%23"),CHAR(10),"%0A"),"✉ Email parts"),"")</f>
        <v/>
      </c>
      <c r="U202" s="18" t="str">
        <f aca="false">IF(AND(N202="Yes",O202&lt;&gt;"Yes"),HYPERLINK("mailto:"&amp;Settings!$B$6&amp;"?subject="&amp;SUBSTITUTE(SUBSTITUTE(SUBSTITUTE(SUBSTITUTE(SUBSTITUTE("Customer contact required - "&amp;D202&amp;" "&amp;E202,"%","%25"),"&amp;","%26")," ","%20"),"#","%23"),CHAR(10),"%0A")&amp;"&amp;body="&amp;SUBSTITUTE(SUBSTITUTE(SUBSTITUTE(SUBSTITUTE(SUBSTITUTE("Ref: "&amp;A202&amp;CHAR(10)&amp;"Customer: "&amp;D202&amp;"  "&amp;E202&amp;CHAR(10)&amp;"Phone: "&amp;F202&amp;CHAR(10)&amp;"Email: "&amp;G202&amp;CHAR(10)&amp;"Prefers: "&amp;H202&amp;CHAR(10)&amp;"Enquiry: "&amp;LEFT(I202,600)&amp;CHAR(10)&amp;CHAR(10)&amp;"Sent from the Preston Mazda enquiry log.","%","%25"),"&amp;","%26")," ","%20"),"#","%23"),CHAR(10),"%0A"),"✉ Email advisors"),"")</f>
        <v/>
      </c>
      <c r="V202" s="18" t="str">
        <f aca="false">IF(OR(M202="",IFERROR(INDEX(Staff!$B$4:$B$33,MATCH(M202,Staff!$A$4:$A$33,0)),"")=""),"",HYPERLINK("mailto:"&amp;IFERROR(INDEX(Staff!$B$4:$B$33,MATCH(M202,Staff!$A$4:$A$33,0)),"")&amp;"?subject="&amp;SUBSTITUTE(SUBSTITUTE(SUBSTITUTE(SUBSTITUTE(SUBSTITUTE("Enquiry "&amp;A202&amp;" allocated to you - "&amp;D202,"%","%25"),"&amp;","%26")," ","%20"),"#","%23"),CHAR(10),"%0A")&amp;"&amp;body="&amp;SUBSTITUTE(SUBSTITUTE(SUBSTITUTE(SUBSTITUTE(SUBSTITUTE("Ref: "&amp;A202&amp;CHAR(10)&amp;"Customer: "&amp;D202&amp;"  "&amp;E202&amp;CHAR(10)&amp;"Phone: "&amp;F202&amp;CHAR(10)&amp;"Email: "&amp;G202&amp;CHAR(10)&amp;"Prefers: "&amp;H202&amp;CHAR(10)&amp;"Enquiry: "&amp;LEFT(I202,600)&amp;CHAR(10)&amp;CHAR(10)&amp;"Sent from the Preston Mazda enquiry log.","%","%25"),"&amp;","%26")," ","%20"),"#","%23"),CHAR(10),"%0A"),"✉ Email "&amp;M202))</f>
        <v/>
      </c>
      <c r="W202" s="18" t="str">
        <f aca="false">IF(OR(P202="",IFERROR(INDEX(Staff!$E$4:$E$33,MATCH(P202,Staff!$D$4:$D$33,0)),"")=""),"",HYPERLINK("mailto:"&amp;IFERROR(INDEX(Staff!$E$4:$E$33,MATCH(P202,Staff!$D$4:$D$33,0)),"")&amp;"?subject="&amp;SUBSTITUTE(SUBSTITUTE(SUBSTITUTE(SUBSTITUTE(SUBSTITUTE("Parts quote "&amp;A202&amp;" allocated to you - "&amp;D202,"%","%25"),"&amp;","%26")," ","%20"),"#","%23"),CHAR(10),"%0A")&amp;"&amp;body="&amp;SUBSTITUTE(SUBSTITUTE(SUBSTITUTE(SUBSTITUTE(SUBSTITUTE("Ref: "&amp;A202&amp;CHAR(10)&amp;"Customer: "&amp;D202&amp;"  "&amp;E202&amp;CHAR(10)&amp;"Phone: "&amp;F202&amp;CHAR(10)&amp;"Email: "&amp;G202&amp;CHAR(10)&amp;"Prefers: "&amp;H202&amp;CHAR(10)&amp;"Enquiry: "&amp;LEFT(I202,600)&amp;CHAR(10)&amp;CHAR(10)&amp;"Sent from the Preston Mazda enquiry log.","%","%25"),"&amp;","%26")," ","%20"),"#","%23"),CHAR(10),"%0A"),"✉ Email "&amp;P202))</f>
        <v/>
      </c>
    </row>
    <row r="203" customFormat="false" ht="15" hidden="false" customHeight="false" outlineLevel="0" collapsed="false">
      <c r="A203" s="10" t="str">
        <f aca="false">IF(D203="","","E-"&amp;TEXT(ROW()-3,"0000"))</f>
        <v/>
      </c>
      <c r="B203" s="11"/>
      <c r="C203" s="12"/>
      <c r="D203" s="13"/>
      <c r="E203" s="14"/>
      <c r="F203" s="12"/>
      <c r="G203" s="12"/>
      <c r="H203" s="15"/>
      <c r="I203" s="16"/>
      <c r="J203" s="17" t="str">
        <f aca="false">IF(D203="","",HYPERLINK(Settings!$B$7&amp;A203&amp;".pdf","Open "&amp;A203&amp;".pdf"))</f>
        <v/>
      </c>
      <c r="K203" s="16"/>
      <c r="L203" s="12"/>
      <c r="M203" s="12"/>
      <c r="N203" s="15"/>
      <c r="O203" s="15"/>
      <c r="P203" s="12"/>
      <c r="Q203" s="15"/>
      <c r="R203" s="15"/>
      <c r="S203" s="15" t="str">
        <f aca="false">IF(D203="","",IF(AND(O203="Yes",OR(Q203&lt;&gt;"Yes",R203="Yes")),"Complete","Open"))</f>
        <v/>
      </c>
      <c r="T203" s="18" t="str">
        <f aca="false">IF(AND(Q203="Yes",R203&lt;&gt;"Yes"),HYPERLINK("mailto:"&amp;Settings!$B$5&amp;"?subject="&amp;SUBSTITUTE(SUBSTITUTE(SUBSTITUTE(SUBSTITUTE(SUBSTITUTE("Parts quote required - "&amp;D203&amp;" "&amp;E203,"%","%25"),"&amp;","%26")," ","%20"),"#","%23"),CHAR(10),"%0A")&amp;"&amp;body="&amp;SUBSTITUTE(SUBSTITUTE(SUBSTITUTE(SUBSTITUTE(SUBSTITUTE("Ref: "&amp;A203&amp;CHAR(10)&amp;"Customer: "&amp;D203&amp;"  "&amp;E203&amp;CHAR(10)&amp;"Phone: "&amp;F203&amp;CHAR(10)&amp;"Email: "&amp;G203&amp;CHAR(10)&amp;"Prefers: "&amp;H203&amp;CHAR(10)&amp;"Enquiry: "&amp;LEFT(I203,600)&amp;CHAR(10)&amp;CHAR(10)&amp;"Sent from the Preston Mazda enquiry log.","%","%25"),"&amp;","%26")," ","%20"),"#","%23"),CHAR(10),"%0A"),"✉ Email parts"),"")</f>
        <v/>
      </c>
      <c r="U203" s="18" t="str">
        <f aca="false">IF(AND(N203="Yes",O203&lt;&gt;"Yes"),HYPERLINK("mailto:"&amp;Settings!$B$6&amp;"?subject="&amp;SUBSTITUTE(SUBSTITUTE(SUBSTITUTE(SUBSTITUTE(SUBSTITUTE("Customer contact required - "&amp;D203&amp;" "&amp;E203,"%","%25"),"&amp;","%26")," ","%20"),"#","%23"),CHAR(10),"%0A")&amp;"&amp;body="&amp;SUBSTITUTE(SUBSTITUTE(SUBSTITUTE(SUBSTITUTE(SUBSTITUTE("Ref: "&amp;A203&amp;CHAR(10)&amp;"Customer: "&amp;D203&amp;"  "&amp;E203&amp;CHAR(10)&amp;"Phone: "&amp;F203&amp;CHAR(10)&amp;"Email: "&amp;G203&amp;CHAR(10)&amp;"Prefers: "&amp;H203&amp;CHAR(10)&amp;"Enquiry: "&amp;LEFT(I203,600)&amp;CHAR(10)&amp;CHAR(10)&amp;"Sent from the Preston Mazda enquiry log.","%","%25"),"&amp;","%26")," ","%20"),"#","%23"),CHAR(10),"%0A"),"✉ Email advisors"),"")</f>
        <v/>
      </c>
      <c r="V203" s="18" t="str">
        <f aca="false">IF(OR(M203="",IFERROR(INDEX(Staff!$B$4:$B$33,MATCH(M203,Staff!$A$4:$A$33,0)),"")=""),"",HYPERLINK("mailto:"&amp;IFERROR(INDEX(Staff!$B$4:$B$33,MATCH(M203,Staff!$A$4:$A$33,0)),"")&amp;"?subject="&amp;SUBSTITUTE(SUBSTITUTE(SUBSTITUTE(SUBSTITUTE(SUBSTITUTE("Enquiry "&amp;A203&amp;" allocated to you - "&amp;D203,"%","%25"),"&amp;","%26")," ","%20"),"#","%23"),CHAR(10),"%0A")&amp;"&amp;body="&amp;SUBSTITUTE(SUBSTITUTE(SUBSTITUTE(SUBSTITUTE(SUBSTITUTE("Ref: "&amp;A203&amp;CHAR(10)&amp;"Customer: "&amp;D203&amp;"  "&amp;E203&amp;CHAR(10)&amp;"Phone: "&amp;F203&amp;CHAR(10)&amp;"Email: "&amp;G203&amp;CHAR(10)&amp;"Prefers: "&amp;H203&amp;CHAR(10)&amp;"Enquiry: "&amp;LEFT(I203,600)&amp;CHAR(10)&amp;CHAR(10)&amp;"Sent from the Preston Mazda enquiry log.","%","%25"),"&amp;","%26")," ","%20"),"#","%23"),CHAR(10),"%0A"),"✉ Email "&amp;M203))</f>
        <v/>
      </c>
      <c r="W203" s="18" t="str">
        <f aca="false">IF(OR(P203="",IFERROR(INDEX(Staff!$E$4:$E$33,MATCH(P203,Staff!$D$4:$D$33,0)),"")=""),"",HYPERLINK("mailto:"&amp;IFERROR(INDEX(Staff!$E$4:$E$33,MATCH(P203,Staff!$D$4:$D$33,0)),"")&amp;"?subject="&amp;SUBSTITUTE(SUBSTITUTE(SUBSTITUTE(SUBSTITUTE(SUBSTITUTE("Parts quote "&amp;A203&amp;" allocated to you - "&amp;D203,"%","%25"),"&amp;","%26")," ","%20"),"#","%23"),CHAR(10),"%0A")&amp;"&amp;body="&amp;SUBSTITUTE(SUBSTITUTE(SUBSTITUTE(SUBSTITUTE(SUBSTITUTE("Ref: "&amp;A203&amp;CHAR(10)&amp;"Customer: "&amp;D203&amp;"  "&amp;E203&amp;CHAR(10)&amp;"Phone: "&amp;F203&amp;CHAR(10)&amp;"Email: "&amp;G203&amp;CHAR(10)&amp;"Prefers: "&amp;H203&amp;CHAR(10)&amp;"Enquiry: "&amp;LEFT(I203,600)&amp;CHAR(10)&amp;CHAR(10)&amp;"Sent from the Preston Mazda enquiry log.","%","%25"),"&amp;","%26")," ","%20"),"#","%23"),CHAR(10),"%0A"),"✉ Email "&amp;P203))</f>
        <v/>
      </c>
    </row>
  </sheetData>
  <mergeCells count="7">
    <mergeCell ref="A1:I1"/>
    <mergeCell ref="J1:L1"/>
    <mergeCell ref="D2:I2"/>
    <mergeCell ref="K2:L2"/>
    <mergeCell ref="M2:O2"/>
    <mergeCell ref="P2:R2"/>
    <mergeCell ref="T2:W2"/>
  </mergeCells>
  <conditionalFormatting sqref="O4:O203">
    <cfRule type="expression" priority="2" aboveAverage="0" equalAverage="0" bottom="0" percent="0" rank="0" text="" dxfId="8">
      <formula>O4="Yes"</formula>
    </cfRule>
  </conditionalFormatting>
  <conditionalFormatting sqref="R4:R203">
    <cfRule type="expression" priority="3" aboveAverage="0" equalAverage="0" bottom="0" percent="0" rank="0" text="" dxfId="8">
      <formula>R4="Yes"</formula>
    </cfRule>
  </conditionalFormatting>
  <conditionalFormatting sqref="N4:N203">
    <cfRule type="expression" priority="4" aboveAverage="0" equalAverage="0" bottom="0" percent="0" rank="0" text="" dxfId="9">
      <formula>AND(N4="Yes",O4&lt;&gt;"Yes")</formula>
    </cfRule>
  </conditionalFormatting>
  <conditionalFormatting sqref="Q4:Q203">
    <cfRule type="expression" priority="5" aboveAverage="0" equalAverage="0" bottom="0" percent="0" rank="0" text="" dxfId="9">
      <formula>AND(Q4="Yes",R4&lt;&gt;"Yes")</formula>
    </cfRule>
  </conditionalFormatting>
  <conditionalFormatting sqref="S4:S203">
    <cfRule type="expression" priority="6" aboveAverage="0" equalAverage="0" bottom="0" percent="0" rank="0" text="" dxfId="8">
      <formula>S4="Complete"</formula>
    </cfRule>
    <cfRule type="expression" priority="7" aboveAverage="0" equalAverage="0" bottom="0" percent="0" rank="0" text="" dxfId="10">
      <formula>S4="Open"</formula>
    </cfRule>
  </conditionalFormatting>
  <conditionalFormatting sqref="A4:S203">
    <cfRule type="expression" priority="8" aboveAverage="0" equalAverage="0" bottom="0" percent="0" rank="0" text="" dxfId="11">
      <formula>$S4="Complete"</formula>
    </cfRule>
  </conditionalFormatting>
  <dataValidations count="9">
    <dataValidation allowBlank="true" error="Please pick a value from the list." errorStyle="stop" errorTitle="Not in list" operator="between" prompt="How the customer prefers to be contacted." showDropDown="false" showErrorMessage="true" showInputMessage="true" sqref="H4:H203" type="list">
      <formula1>"Call,Text,Email"</formula1>
      <formula2>0</formula2>
    </dataValidation>
    <dataValidation allowBlank="true" error="Please pick a value from the list." errorStyle="stop" errorTitle="Not in list" operator="between" showDropDown="false" showErrorMessage="true" showInputMessage="false" sqref="N4:N203" type="list">
      <formula1>"Yes,No"</formula1>
      <formula2>0</formula2>
    </dataValidation>
    <dataValidation allowBlank="true" error="Please pick a value from the list." errorStyle="stop" errorTitle="Not in list" operator="between" showDropDown="false" showErrorMessage="true" showInputMessage="false" sqref="O4:O203" type="list">
      <formula1>"Yes,No"</formula1>
      <formula2>0</formula2>
    </dataValidation>
    <dataValidation allowBlank="true" error="Please pick a value from the list." errorStyle="stop" errorTitle="Not in list" operator="between" showDropDown="false" showErrorMessage="true" showInputMessage="false" sqref="Q4:Q203" type="list">
      <formula1>"Yes,No"</formula1>
      <formula2>0</formula2>
    </dataValidation>
    <dataValidation allowBlank="true" error="Please pick a value from the list." errorStyle="stop" errorTitle="Not in list" operator="between" showDropDown="false" showErrorMessage="true" showInputMessage="false" sqref="R4:R203" type="list">
      <formula1>"Yes,No"</formula1>
      <formula2>0</formula2>
    </dataValidation>
    <dataValidation allowBlank="true" error="Please pick a value from the list." errorStyle="stop" errorTitle="Not in list" operator="between" prompt="Advisors come from the Staff sheet." showDropDown="false" showErrorMessage="true" showInputMessage="true" sqref="M4:M203" type="list">
      <formula1>Advisors</formula1>
      <formula2>0</formula2>
    </dataValidation>
    <dataValidation allowBlank="true" error="Please pick a value from the list." errorStyle="stop" errorTitle="Not in list" operator="between" prompt="Parts staff come from the Staff sheet." showDropDown="false" showErrorMessage="true" showInputMessage="true" sqref="P4:P203" type="list">
      <formula1>PartsStaff</formula1>
      <formula2>0</formula2>
    </dataValidation>
    <dataValidation allowBlank="true" error="Please pick a value from the list." errorStyle="information" errorTitle="Not in list" operator="between" showDropDown="false" showErrorMessage="false" showInputMessage="false" sqref="C4:C203" type="list">
      <formula1>Advisors</formula1>
      <formula2>0</formula2>
    </dataValidation>
    <dataValidation allowBlank="true" error="Please pick a value from the list." errorStyle="information" errorTitle="Not in list" operator="between" showDropDown="false" showErrorMessage="false" showInputMessage="false" sqref="L4:L203" type="list">
      <formula1>Advisors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3"/>
    <col collapsed="false" customWidth="true" hidden="false" outlineLevel="0" max="4" min="4" style="0" width="22"/>
    <col collapsed="false" customWidth="true" hidden="false" outlineLevel="0" max="5" min="5" style="0" width="30"/>
  </cols>
  <sheetData>
    <row r="1" customFormat="false" ht="25.5" hidden="false" customHeight="true" outlineLevel="0" collapsed="false">
      <c r="A1" s="19" t="s">
        <v>72</v>
      </c>
      <c r="B1" s="19"/>
      <c r="C1" s="19"/>
      <c r="D1" s="19"/>
      <c r="E1" s="19"/>
      <c r="F1" s="19"/>
    </row>
    <row r="2" customFormat="false" ht="15" hidden="false" customHeight="false" outlineLevel="0" collapsed="false">
      <c r="A2" s="20" t="s">
        <v>73</v>
      </c>
      <c r="D2" s="20" t="s">
        <v>74</v>
      </c>
    </row>
    <row r="3" customFormat="false" ht="15" hidden="false" customHeight="false" outlineLevel="0" collapsed="false">
      <c r="A3" s="21" t="s">
        <v>75</v>
      </c>
      <c r="B3" s="21" t="s">
        <v>76</v>
      </c>
      <c r="D3" s="21" t="s">
        <v>75</v>
      </c>
      <c r="E3" s="21" t="s">
        <v>76</v>
      </c>
    </row>
    <row r="4" customFormat="false" ht="15" hidden="false" customHeight="false" outlineLevel="0" collapsed="false">
      <c r="A4" s="22" t="s">
        <v>68</v>
      </c>
      <c r="B4" s="22" t="s">
        <v>77</v>
      </c>
      <c r="D4" s="22" t="s">
        <v>71</v>
      </c>
      <c r="E4" s="22" t="s">
        <v>78</v>
      </c>
    </row>
    <row r="5" customFormat="false" ht="15" hidden="false" customHeight="false" outlineLevel="0" collapsed="false">
      <c r="A5" s="22" t="s">
        <v>79</v>
      </c>
      <c r="B5" s="22" t="s">
        <v>80</v>
      </c>
      <c r="D5" s="22"/>
      <c r="E5" s="22"/>
    </row>
    <row r="6" customFormat="false" ht="15" hidden="false" customHeight="false" outlineLevel="0" collapsed="false">
      <c r="A6" s="22"/>
      <c r="B6" s="22"/>
      <c r="D6" s="22"/>
      <c r="E6" s="22"/>
    </row>
    <row r="7" customFormat="false" ht="15" hidden="false" customHeight="false" outlineLevel="0" collapsed="false">
      <c r="A7" s="22"/>
      <c r="B7" s="22"/>
      <c r="D7" s="22"/>
      <c r="E7" s="22"/>
    </row>
    <row r="8" customFormat="false" ht="15" hidden="false" customHeight="false" outlineLevel="0" collapsed="false">
      <c r="A8" s="22"/>
      <c r="B8" s="22"/>
      <c r="D8" s="22"/>
      <c r="E8" s="22"/>
    </row>
    <row r="9" customFormat="false" ht="15" hidden="false" customHeight="false" outlineLevel="0" collapsed="false">
      <c r="A9" s="22"/>
      <c r="B9" s="22"/>
      <c r="D9" s="22"/>
      <c r="E9" s="22"/>
    </row>
    <row r="10" customFormat="false" ht="15" hidden="false" customHeight="false" outlineLevel="0" collapsed="false">
      <c r="A10" s="22"/>
      <c r="B10" s="22"/>
      <c r="D10" s="22"/>
      <c r="E10" s="22"/>
    </row>
    <row r="11" customFormat="false" ht="15" hidden="false" customHeight="false" outlineLevel="0" collapsed="false">
      <c r="A11" s="22"/>
      <c r="B11" s="22"/>
      <c r="D11" s="22"/>
      <c r="E11" s="22"/>
    </row>
    <row r="12" customFormat="false" ht="15" hidden="false" customHeight="false" outlineLevel="0" collapsed="false">
      <c r="A12" s="22"/>
      <c r="B12" s="22"/>
      <c r="D12" s="22"/>
      <c r="E12" s="22"/>
    </row>
    <row r="13" customFormat="false" ht="15" hidden="false" customHeight="false" outlineLevel="0" collapsed="false">
      <c r="A13" s="22"/>
      <c r="B13" s="22"/>
      <c r="D13" s="22"/>
      <c r="E13" s="22"/>
    </row>
    <row r="14" customFormat="false" ht="15" hidden="false" customHeight="false" outlineLevel="0" collapsed="false">
      <c r="A14" s="22"/>
      <c r="B14" s="22"/>
      <c r="D14" s="22"/>
      <c r="E14" s="22"/>
    </row>
    <row r="15" customFormat="false" ht="15" hidden="false" customHeight="false" outlineLevel="0" collapsed="false">
      <c r="A15" s="22"/>
      <c r="B15" s="22"/>
      <c r="D15" s="22"/>
      <c r="E15" s="22"/>
    </row>
    <row r="16" customFormat="false" ht="15" hidden="false" customHeight="false" outlineLevel="0" collapsed="false">
      <c r="A16" s="22"/>
      <c r="B16" s="22"/>
      <c r="D16" s="22"/>
      <c r="E16" s="22"/>
    </row>
    <row r="17" customFormat="false" ht="15" hidden="false" customHeight="false" outlineLevel="0" collapsed="false">
      <c r="A17" s="22"/>
      <c r="B17" s="22"/>
      <c r="D17" s="22"/>
      <c r="E17" s="22"/>
    </row>
    <row r="18" customFormat="false" ht="15" hidden="false" customHeight="false" outlineLevel="0" collapsed="false">
      <c r="A18" s="22"/>
      <c r="B18" s="22"/>
      <c r="D18" s="22"/>
      <c r="E18" s="22"/>
    </row>
    <row r="19" customFormat="false" ht="15" hidden="false" customHeight="false" outlineLevel="0" collapsed="false">
      <c r="A19" s="22"/>
      <c r="B19" s="22"/>
      <c r="D19" s="22"/>
      <c r="E19" s="22"/>
    </row>
    <row r="20" customFormat="false" ht="15" hidden="false" customHeight="false" outlineLevel="0" collapsed="false">
      <c r="A20" s="22"/>
      <c r="B20" s="22"/>
      <c r="D20" s="22"/>
      <c r="E20" s="22"/>
    </row>
    <row r="21" customFormat="false" ht="15" hidden="false" customHeight="false" outlineLevel="0" collapsed="false">
      <c r="A21" s="22"/>
      <c r="B21" s="22"/>
      <c r="D21" s="22"/>
      <c r="E21" s="22"/>
    </row>
    <row r="22" customFormat="false" ht="15" hidden="false" customHeight="false" outlineLevel="0" collapsed="false">
      <c r="A22" s="22"/>
      <c r="B22" s="22"/>
      <c r="D22" s="22"/>
      <c r="E22" s="22"/>
    </row>
    <row r="23" customFormat="false" ht="15" hidden="false" customHeight="false" outlineLevel="0" collapsed="false">
      <c r="A23" s="22"/>
      <c r="B23" s="22"/>
      <c r="D23" s="22"/>
      <c r="E23" s="22"/>
    </row>
    <row r="24" customFormat="false" ht="15" hidden="false" customHeight="false" outlineLevel="0" collapsed="false">
      <c r="A24" s="22"/>
      <c r="B24" s="22"/>
      <c r="D24" s="22"/>
      <c r="E24" s="22"/>
    </row>
    <row r="25" customFormat="false" ht="15" hidden="false" customHeight="false" outlineLevel="0" collapsed="false">
      <c r="A25" s="22"/>
      <c r="B25" s="22"/>
      <c r="D25" s="22"/>
      <c r="E25" s="22"/>
    </row>
    <row r="26" customFormat="false" ht="15" hidden="false" customHeight="false" outlineLevel="0" collapsed="false">
      <c r="A26" s="22"/>
      <c r="B26" s="22"/>
      <c r="D26" s="22"/>
      <c r="E26" s="22"/>
    </row>
    <row r="27" customFormat="false" ht="15" hidden="false" customHeight="false" outlineLevel="0" collapsed="false">
      <c r="A27" s="22"/>
      <c r="B27" s="22"/>
      <c r="D27" s="22"/>
      <c r="E27" s="22"/>
    </row>
    <row r="28" customFormat="false" ht="15" hidden="false" customHeight="false" outlineLevel="0" collapsed="false">
      <c r="A28" s="22"/>
      <c r="B28" s="22"/>
      <c r="D28" s="22"/>
      <c r="E28" s="22"/>
    </row>
    <row r="29" customFormat="false" ht="15" hidden="false" customHeight="false" outlineLevel="0" collapsed="false">
      <c r="A29" s="22"/>
      <c r="B29" s="22"/>
      <c r="D29" s="22"/>
      <c r="E29" s="22"/>
    </row>
    <row r="30" customFormat="false" ht="15" hidden="false" customHeight="false" outlineLevel="0" collapsed="false">
      <c r="A30" s="22"/>
      <c r="B30" s="22"/>
      <c r="D30" s="22"/>
      <c r="E30" s="22"/>
    </row>
    <row r="31" customFormat="false" ht="15" hidden="false" customHeight="false" outlineLevel="0" collapsed="false">
      <c r="A31" s="22"/>
      <c r="B31" s="22"/>
      <c r="D31" s="22"/>
      <c r="E31" s="22"/>
    </row>
    <row r="32" customFormat="false" ht="15" hidden="false" customHeight="false" outlineLevel="0" collapsed="false">
      <c r="A32" s="22"/>
      <c r="B32" s="22"/>
      <c r="D32" s="22"/>
      <c r="E32" s="22"/>
    </row>
    <row r="33" customFormat="false" ht="15" hidden="false" customHeight="false" outlineLevel="0" collapsed="false">
      <c r="A33" s="22"/>
      <c r="B33" s="22"/>
      <c r="D33" s="22"/>
      <c r="E33" s="22"/>
    </row>
    <row r="35" customFormat="false" ht="15" hidden="false" customHeight="false" outlineLevel="0" collapsed="false">
      <c r="A35" s="23" t="s">
        <v>81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70"/>
  </cols>
  <sheetData>
    <row r="1" customFormat="false" ht="25.5" hidden="false" customHeight="true" outlineLevel="0" collapsed="false">
      <c r="A1" s="19" t="s">
        <v>82</v>
      </c>
      <c r="B1" s="19"/>
      <c r="C1" s="19"/>
    </row>
    <row r="2" customFormat="false" ht="15" hidden="false" customHeight="false" outlineLevel="0" collapsed="false">
      <c r="A2" s="21" t="s">
        <v>83</v>
      </c>
      <c r="B2" s="21" t="s">
        <v>84</v>
      </c>
      <c r="C2" s="21" t="s">
        <v>47</v>
      </c>
    </row>
    <row r="3" customFormat="false" ht="15" hidden="false" customHeight="false" outlineLevel="0" collapsed="false">
      <c r="A3" s="24" t="s">
        <v>85</v>
      </c>
      <c r="B3" s="25" t="s">
        <v>86</v>
      </c>
      <c r="C3" s="26" t="s">
        <v>87</v>
      </c>
    </row>
    <row r="4" customFormat="false" ht="15" hidden="false" customHeight="false" outlineLevel="0" collapsed="false">
      <c r="A4" s="24" t="s">
        <v>88</v>
      </c>
      <c r="B4" s="25" t="s">
        <v>89</v>
      </c>
      <c r="C4" s="26" t="s">
        <v>90</v>
      </c>
    </row>
    <row r="5" customFormat="false" ht="15" hidden="false" customHeight="false" outlineLevel="0" collapsed="false">
      <c r="A5" s="24" t="s">
        <v>91</v>
      </c>
      <c r="B5" s="25" t="s">
        <v>92</v>
      </c>
      <c r="C5" s="26" t="s">
        <v>93</v>
      </c>
    </row>
    <row r="6" customFormat="false" ht="15" hidden="false" customHeight="false" outlineLevel="0" collapsed="false">
      <c r="A6" s="24" t="s">
        <v>94</v>
      </c>
      <c r="B6" s="25" t="s">
        <v>95</v>
      </c>
      <c r="C6" s="26" t="s">
        <v>96</v>
      </c>
    </row>
    <row r="7" customFormat="false" ht="23.85" hidden="false" customHeight="false" outlineLevel="0" collapsed="false">
      <c r="A7" s="24" t="s">
        <v>97</v>
      </c>
      <c r="B7" s="25" t="s">
        <v>98</v>
      </c>
      <c r="C7" s="26" t="s">
        <v>99</v>
      </c>
    </row>
    <row r="10" customFormat="false" ht="15" hidden="false" customHeight="false" outlineLevel="0" collapsed="false">
      <c r="A10" s="23" t="s">
        <v>100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2026-09-24T08:44:39Z</dcterms:created>
  <dc:creator>openpyxl</dc:creator>
  <dc:description/>
  <dc:language>en-US</dc:language>
  <cp:lastModifiedBy/>
  <dcterms:modified xsi:type="dcterms:W3CDTF">2026-09-24T08:44:39Z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